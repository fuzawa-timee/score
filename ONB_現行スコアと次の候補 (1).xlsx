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40b9b60c3a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現行スコア" sheetId="1" r:id="R2a08e95974554957"/>
    <x:sheet xmlns:r="http://schemas.openxmlformats.org/officeDocument/2006/relationships" name="次のスコア候補" sheetId="2" r:id="Ra2b074c06cea46cd"/>
    <x:sheet xmlns:r="http://schemas.openxmlformats.org/officeDocument/2006/relationships" name="運用ガイド" sheetId="3" r:id="R376d75890ea74479"/>
    <x:sheet xmlns:r="http://schemas.openxmlformats.org/officeDocument/2006/relationships" name="採点の練習" sheetId="4" r:id="R598048e0c1974b16"/>
    <x:sheet xmlns:r="http://schemas.openxmlformats.org/officeDocument/2006/relationships" name="根拠データ" sheetId="5" r:id="Rfaa32231585b4e69"/>
    <x:sheet xmlns:r="http://schemas.openxmlformats.org/officeDocument/2006/relationships" name="根拠グラフ" sheetId="6" r:id="R8155573460b84e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5">
    <x:font>
      <x:sz val="11"/>
      <x:name val="Carlito"/>
    </x:font>
    <x:font>
      <x:sz val="11"/>
      <x:color rgb="FF1A1A1A"/>
      <x:name val="Noto Sans JP"/>
    </x:font>
    <x:font>
      <x:b/>
      <x:sz val="11"/>
      <x:color rgb="FFFFFFFF"/>
      <x:name val="Noto Sans JP"/>
    </x:font>
    <x:font>
      <x:sz val="11"/>
      <x:color rgb="FFFFFFFF"/>
      <x:name val="Noto Sans JP"/>
    </x:font>
    <x:font>
      <x:b/>
      <x:sz val="11"/>
      <x:color rgb="FF1A1A1A"/>
      <x:name val="Noto Sans JP"/>
    </x:font>
  </x:fonts>
  <x:fills count="7">
    <x:fill>
      <x:patternFill patternType="none"/>
    </x:fill>
    <x:fill>
      <x:patternFill patternType="gray125"/>
    </x:fill>
    <x:fill>
      <x:patternFill patternType="solid">
        <x:fgColor rgb="FF1A1A1A"/>
      </x:patternFill>
    </x:fill>
    <x:fill>
      <x:patternFill patternType="solid">
        <x:fgColor rgb="FFFFF6D9"/>
      </x:patternFill>
    </x:fill>
    <x:fill>
      <x:patternFill patternType="solid">
        <x:fgColor rgb="FFFFF0A3"/>
      </x:patternFill>
    </x:fill>
    <x:fill>
      <x:patternFill patternType="solid">
        <x:fgColor rgb="FFFFD100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201" fontId="1" fillId="0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 wrapText="1"/>
    </x:xf>
    <x:xf numFmtId="201" fontId="1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185223d7284c20" /><Relationship Type="http://schemas.openxmlformats.org/officeDocument/2006/relationships/theme" Target="/xl/theme/theme1.xml" Id="Rf9802c4a897c42ee" /><Relationship Type="http://schemas.openxmlformats.org/officeDocument/2006/relationships/sharedStrings" Target="/xl/sharedStrings.xml" Id="R3ea2e4a024794f4e" /><Relationship Type="http://schemas.openxmlformats.org/officeDocument/2006/relationships/worksheet" Target="/xl/worksheets/sheet1.xml" Id="R2a08e95974554957" /><Relationship Type="http://schemas.openxmlformats.org/officeDocument/2006/relationships/worksheet" Target="/xl/worksheets/sheet2.xml" Id="Ra2b074c06cea46cd" /><Relationship Type="http://schemas.openxmlformats.org/officeDocument/2006/relationships/worksheet" Target="/xl/worksheets/sheet3.xml" Id="R376d75890ea74479" /><Relationship Type="http://schemas.openxmlformats.org/officeDocument/2006/relationships/worksheet" Target="/xl/worksheets/sheet4.xml" Id="R598048e0c1974b16" /><Relationship Type="http://schemas.openxmlformats.org/officeDocument/2006/relationships/worksheet" Target="/xl/worksheets/sheet5.xml" Id="Rfaa32231585b4e69" /><Relationship Type="http://schemas.openxmlformats.org/officeDocument/2006/relationships/worksheet" Target="/xl/worksheets/sheet6.xml" Id="R8155573460b84e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ce79fb96a0a4ae2" /><Relationship Type="http://schemas.openxmlformats.org/officeDocument/2006/relationships/chart" Target="/xl/drawings/charts/chart2.xml" Id="R1cb550b7dba74f6d" /><Relationship Type="http://schemas.openxmlformats.org/officeDocument/2006/relationships/chart" Target="/xl/drawings/charts/chart3.xml" Id="Rad813c0ad1994251" /><Relationship Type="http://schemas.openxmlformats.org/officeDocument/2006/relationships/chart" Target="/xl/drawings/charts/chart4.xml" Id="R37124dc2eb2b4313" /><Relationship Type="http://schemas.openxmlformats.org/officeDocument/2006/relationships/chart" Target="/xl/drawings/charts/chart5.xml" Id="Rd53f096b2fbb405f" /><Relationship Type="http://schemas.openxmlformats.org/officeDocument/2006/relationships/chart" Target="/xl/drawings/charts/chart6.xml" Id="R3ee6cd710e5d4b4b" /><Relationship Type="http://schemas.openxmlformats.org/officeDocument/2006/relationships/chart" Target="/xl/drawings/charts/chart7.xml" Id="R734b2cb69d8944d8" /><Relationship Type="http://schemas.openxmlformats.org/officeDocument/2006/relationships/chart" Target="/xl/drawings/charts/chart8.xml" Id="R7a36434561224de0" /><Relationship Type="http://schemas.openxmlformats.org/officeDocument/2006/relationships/chart" Target="/xl/drawings/charts/chart9.xml" Id="R149e3410e9f74c08" /><Relationship Type="http://schemas.openxmlformats.org/officeDocument/2006/relationships/chart" Target="/xl/drawings/charts/chart10.xml" Id="R8316101d10cd4cff" /><Relationship Type="http://schemas.openxmlformats.org/officeDocument/2006/relationships/chart" Target="/xl/drawings/charts/chart11.xml" Id="Rc5328aa2270b4b6f" /><Relationship Type="http://schemas.openxmlformats.org/officeDocument/2006/relationships/chart" Target="/xl/drawings/charts/chart12.xml" Id="Rc13377e6b51a45ba" /><Relationship Type="http://schemas.openxmlformats.org/officeDocument/2006/relationships/chart" Target="/xl/drawings/charts/chart13.xml" Id="R75c7467fe81c4c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Noto Sans JP"/>
                <a:ea typeface="Noto Sans JP"/>
                <a:cs typeface="Noto Sans JP"/>
              </a:rPr>
              <a:t>翌月継続率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Noto Sans JP"/>
              <a:ea typeface="Noto Sans JP"/>
              <a:cs typeface="Noto Sans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翌月継続率</c:v>
          </c:tx>
          <c:spPr>
            <a:solidFill xmlns:a="http://schemas.openxmlformats.org/drawingml/2006/main">
              <a:srgbClr val="FFD100"/>
            </a:solidFill>
          </c:spPr>
          <c:cat>
            <c:strRef>
              <c:f>'根拠グラフ'!$A$5:$A$6</c:f>
              <c:strCache>
                <c:ptCount val="0"/>
              </c:strCache>
            </c:strRef>
          </c:cat>
          <c:val>
            <c:numRef>
              <c:f>'根拠グラフ'!$B$5:$B$6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Noto Sans JP"/>
                <a:ea typeface="Noto Sans JP"/>
                <a:cs typeface="Noto Sans JP"/>
              </a:rPr>
              <a:t>31〜60日目の掲載率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Noto Sans JP"/>
              <a:ea typeface="Noto Sans JP"/>
              <a:cs typeface="Noto Sans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31〜60日目の掲載率</c:v>
          </c:tx>
          <c:spPr>
            <a:solidFill xmlns:a="http://schemas.openxmlformats.org/drawingml/2006/main">
              <a:srgbClr val="FFD100"/>
            </a:solidFill>
          </c:spPr>
          <c:cat>
            <c:strRef>
              <c:f>'根拠グラフ'!$A$32:$A$34</c:f>
              <c:strCache>
                <c:ptCount val="0"/>
              </c:strCache>
            </c:strRef>
          </c:cat>
          <c:val>
            <c:numRef>
              <c:f>'根拠グラフ'!$B$32:$B$34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Noto Sans JP"/>
                <a:ea typeface="Noto Sans JP"/>
                <a:cs typeface="Noto Sans JP"/>
              </a:rPr>
              <a:t>翌月継続率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Noto Sans JP"/>
              <a:ea typeface="Noto Sans JP"/>
              <a:cs typeface="Noto Sans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翌月継続率</c:v>
          </c:tx>
          <c:spPr>
            <a:solidFill xmlns:a="http://schemas.openxmlformats.org/drawingml/2006/main">
              <a:srgbClr val="FFD100"/>
            </a:solidFill>
          </c:spPr>
          <c:cat>
            <c:strRef>
              <c:f>'根拠グラフ'!$A$59:$A$60</c:f>
              <c:strCache>
                <c:ptCount val="0"/>
              </c:strCache>
            </c:strRef>
          </c:cat>
          <c:val>
            <c:numRef>
              <c:f>'根拠グラフ'!$B$59:$B$60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Noto Sans JP"/>
                <a:ea typeface="Noto Sans JP"/>
                <a:cs typeface="Noto Sans JP"/>
              </a:rPr>
              <a:t>翌月継続率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Noto Sans JP"/>
              <a:ea typeface="Noto Sans JP"/>
              <a:cs typeface="Noto Sans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翌月継続率</c:v>
          </c:tx>
          <c:spPr>
            <a:solidFill xmlns:a="http://schemas.openxmlformats.org/drawingml/2006/main">
              <a:srgbClr val="FFD100"/>
            </a:solidFill>
          </c:spPr>
          <c:cat>
            <c:strRef>
              <c:f>'根拠グラフ'!$A$86:$A$88</c:f>
              <c:strCache>
                <c:ptCount val="0"/>
              </c:strCache>
            </c:strRef>
          </c:cat>
          <c:val>
            <c:numRef>
              <c:f>'根拠グラフ'!$B$86:$B$88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Noto Sans JP"/>
                <a:ea typeface="Noto Sans JP"/>
                <a:cs typeface="Noto Sans JP"/>
              </a:rPr>
              <a:t>異なる判定窓の比較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Noto Sans JP"/>
              <a:ea typeface="Noto Sans JP"/>
              <a:cs typeface="Noto Sans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各指標の割合</c:v>
          </c:tx>
          <c:spPr>
            <a:solidFill xmlns:a="http://schemas.openxmlformats.org/drawingml/2006/main">
              <a:srgbClr val="FFD100"/>
            </a:solidFill>
          </c:spPr>
          <c:cat>
            <c:strRef>
              <c:f>'根拠グラフ'!$A$113:$A$114</c:f>
              <c:strCache>
                <c:ptCount val="0"/>
              </c:strCache>
            </c:strRef>
          </c:cat>
          <c:val>
            <c:numRef>
              <c:f>'根拠グラフ'!$B$113:$B$114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Noto Sans JP"/>
                <a:ea typeface="Noto Sans JP"/>
                <a:cs typeface="Noto Sans JP"/>
              </a:rPr>
              <a:t>翌月継続率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Noto Sans JP"/>
              <a:ea typeface="Noto Sans JP"/>
              <a:cs typeface="Noto Sans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翌月継続率</c:v>
          </c:tx>
          <c:spPr>
            <a:solidFill xmlns:a="http://schemas.openxmlformats.org/drawingml/2006/main">
              <a:srgbClr val="FFD100"/>
            </a:solidFill>
          </c:spPr>
          <c:cat>
            <c:strRef>
              <c:f>'根拠グラフ'!$A$140:$A$149</c:f>
              <c:strCache>
                <c:ptCount val="0"/>
              </c:strCache>
            </c:strRef>
          </c:cat>
          <c:val>
            <c:numRef>
              <c:f>'根拠グラフ'!$B$140:$B$149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Noto Sans JP"/>
                <a:ea typeface="Noto Sans JP"/>
                <a:cs typeface="Noto Sans JP"/>
              </a:rPr>
              <a:t>31〜60日目の継続率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Noto Sans JP"/>
              <a:ea typeface="Noto Sans JP"/>
              <a:cs typeface="Noto Sans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翌月継続率</c:v>
          </c:tx>
          <c:spPr>
            <a:solidFill xmlns:a="http://schemas.openxmlformats.org/drawingml/2006/main">
              <a:srgbClr val="FFD100"/>
            </a:solidFill>
          </c:spPr>
          <c:cat>
            <c:strRef>
              <c:f>'根拠グラフ'!$A$167:$A$174</c:f>
              <c:strCache>
                <c:ptCount val="0"/>
              </c:strCache>
            </c:strRef>
          </c:cat>
          <c:val>
            <c:numRef>
              <c:f>'根拠グラフ'!$B$167:$B$174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Noto Sans JP"/>
                <a:ea typeface="Noto Sans JP"/>
                <a:cs typeface="Noto Sans JP"/>
              </a:rPr>
              <a:t>追加掲載率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Noto Sans JP"/>
              <a:ea typeface="Noto Sans JP"/>
              <a:cs typeface="Noto Sans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Goodあり</c:v>
          </c:tx>
          <c:spPr>
            <a:solidFill xmlns:a="http://schemas.openxmlformats.org/drawingml/2006/main">
              <a:srgbClr val="FFD100"/>
            </a:solidFill>
          </c:spPr>
          <c:cat>
            <c:strRef>
              <c:f>'根拠グラフ'!$A$194:$A$197</c:f>
              <c:strCache>
                <c:ptCount val="0"/>
              </c:strCache>
            </c:strRef>
          </c:cat>
          <c:val>
            <c:numRef>
              <c:f>'根拠グラフ'!$B$194:$B$197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Goodなし</c:v>
          </c:tx>
          <c:spPr>
            <a:solidFill xmlns:a="http://schemas.openxmlformats.org/drawingml/2006/main">
              <a:srgbClr val="8C8C8C"/>
            </a:solidFill>
          </c:spPr>
          <c:cat>
            <c:strRef>
              <c:f>'根拠グラフ'!$A$194:$A$197</c:f>
              <c:strCache>
                <c:ptCount val="0"/>
              </c:strCache>
            </c:strRef>
          </c:cat>
          <c:val>
            <c:numRef>
              <c:f>'根拠グラフ'!$C$194:$C$197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Noto Sans JP"/>
                <a:ea typeface="Noto Sans JP"/>
                <a:cs typeface="Noto Sans JP"/>
              </a:rPr>
              <a:t>追加掲載率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Noto Sans JP"/>
              <a:ea typeface="Noto Sans JP"/>
              <a:cs typeface="Noto Sans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稼働あり</c:v>
          </c:tx>
          <c:spPr>
            <a:solidFill xmlns:a="http://schemas.openxmlformats.org/drawingml/2006/main">
              <a:srgbClr val="FFD100"/>
            </a:solidFill>
          </c:spPr>
          <c:cat>
            <c:strRef>
              <c:f>'根拠グラフ'!$A$221:$A$224</c:f>
              <c:strCache>
                <c:ptCount val="0"/>
              </c:strCache>
            </c:strRef>
          </c:cat>
          <c:val>
            <c:numRef>
              <c:f>'根拠グラフ'!$B$221:$B$224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稼働なし</c:v>
          </c:tx>
          <c:spPr>
            <a:solidFill xmlns:a="http://schemas.openxmlformats.org/drawingml/2006/main">
              <a:srgbClr val="8C8C8C"/>
            </a:solidFill>
          </c:spPr>
          <c:cat>
            <c:strRef>
              <c:f>'根拠グラフ'!$A$221:$A$224</c:f>
              <c:strCache>
                <c:ptCount val="0"/>
              </c:strCache>
            </c:strRef>
          </c:cat>
          <c:val>
            <c:numRef>
              <c:f>'根拠グラフ'!$C$221:$C$224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Noto Sans JP"/>
                <a:ea typeface="Noto Sans JP"/>
                <a:cs typeface="Noto Sans JP"/>
              </a:rPr>
              <a:t>翌月継続率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Noto Sans JP"/>
              <a:ea typeface="Noto Sans JP"/>
              <a:cs typeface="Noto Sans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計画掲載あり</c:v>
          </c:tx>
          <c:spPr>
            <a:solidFill xmlns:a="http://schemas.openxmlformats.org/drawingml/2006/main">
              <a:srgbClr val="FFD100"/>
            </a:solidFill>
          </c:spPr>
          <c:cat>
            <c:strRef>
              <c:f>'根拠グラフ'!$A$248:$A$251</c:f>
              <c:strCache>
                <c:ptCount val="0"/>
              </c:strCache>
            </c:strRef>
          </c:cat>
          <c:val>
            <c:numRef>
              <c:f>'根拠グラフ'!$B$248:$B$251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計画掲載なし</c:v>
          </c:tx>
          <c:spPr>
            <a:solidFill xmlns:a="http://schemas.openxmlformats.org/drawingml/2006/main">
              <a:srgbClr val="8C8C8C"/>
            </a:solidFill>
          </c:spPr>
          <c:cat>
            <c:strRef>
              <c:f>'根拠グラフ'!$A$248:$A$251</c:f>
              <c:strCache>
                <c:ptCount val="0"/>
              </c:strCache>
            </c:strRef>
          </c:cat>
          <c:val>
            <c:numRef>
              <c:f>'根拠グラフ'!$C$248:$C$251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Noto Sans JP"/>
                <a:ea typeface="Noto Sans JP"/>
                <a:cs typeface="Noto Sans JP"/>
              </a:rPr>
              <a:t>3ヶ月継続率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Noto Sans JP"/>
              <a:ea typeface="Noto Sans JP"/>
              <a:cs typeface="Noto Sans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初月3〜5件</c:v>
          </c:tx>
          <c:spPr>
            <a:solidFill xmlns:a="http://schemas.openxmlformats.org/drawingml/2006/main">
              <a:srgbClr val="FFD100"/>
            </a:solidFill>
          </c:spPr>
          <c:cat>
            <c:strRef>
              <c:f>'根拠グラフ'!$A$275:$A$278</c:f>
              <c:strCache>
                <c:ptCount val="0"/>
              </c:strCache>
            </c:strRef>
          </c:cat>
          <c:val>
            <c:numRef>
              <c:f>'根拠グラフ'!$B$275:$B$278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初月6〜10件</c:v>
          </c:tx>
          <c:spPr>
            <a:solidFill xmlns:a="http://schemas.openxmlformats.org/drawingml/2006/main">
              <a:srgbClr val="8C8C8C"/>
            </a:solidFill>
          </c:spPr>
          <c:cat>
            <c:strRef>
              <c:f>'根拠グラフ'!$A$275:$A$278</c:f>
              <c:strCache>
                <c:ptCount val="0"/>
              </c:strCache>
            </c:strRef>
          </c:cat>
          <c:val>
            <c:numRef>
              <c:f>'根拠グラフ'!$C$275:$C$278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初月11件以上</c:v>
          </c:tx>
          <c:spPr>
            <a:solidFill xmlns:a="http://schemas.openxmlformats.org/drawingml/2006/main">
              <a:srgbClr val="1A1A1A"/>
            </a:solidFill>
          </c:spPr>
          <c:cat>
            <c:strRef>
              <c:f>'根拠グラフ'!$A$275:$A$278</c:f>
              <c:strCache>
                <c:ptCount val="0"/>
              </c:strCache>
            </c:strRef>
          </c:cat>
          <c:val>
            <c:numRef>
              <c:f>'根拠グラフ'!$D$275:$D$278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Noto Sans JP"/>
                <a:ea typeface="Noto Sans JP"/>
                <a:cs typeface="Noto Sans JP"/>
              </a:rPr>
              <a:t>3ヶ月継続率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Noto Sans JP"/>
              <a:ea typeface="Noto Sans JP"/>
              <a:cs typeface="Noto Sans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初月3〜5件</c:v>
          </c:tx>
          <c:spPr>
            <a:solidFill xmlns:a="http://schemas.openxmlformats.org/drawingml/2006/main">
              <a:srgbClr val="FFD100"/>
            </a:solidFill>
          </c:spPr>
          <c:cat>
            <c:strRef>
              <c:f>'根拠グラフ'!$A$302:$A$304</c:f>
              <c:strCache>
                <c:ptCount val="0"/>
              </c:strCache>
            </c:strRef>
          </c:cat>
          <c:val>
            <c:numRef>
              <c:f>'根拠グラフ'!$B$302:$B$304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初月6〜10件</c:v>
          </c:tx>
          <c:spPr>
            <a:solidFill xmlns:a="http://schemas.openxmlformats.org/drawingml/2006/main">
              <a:srgbClr val="8C8C8C"/>
            </a:solidFill>
          </c:spPr>
          <c:cat>
            <c:strRef>
              <c:f>'根拠グラフ'!$A$302:$A$304</c:f>
              <c:strCache>
                <c:ptCount val="0"/>
              </c:strCache>
            </c:strRef>
          </c:cat>
          <c:val>
            <c:numRef>
              <c:f>'根拠グラフ'!$C$302:$C$304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初月11件以上</c:v>
          </c:tx>
          <c:spPr>
            <a:solidFill xmlns:a="http://schemas.openxmlformats.org/drawingml/2006/main">
              <a:srgbClr val="1A1A1A"/>
            </a:solidFill>
          </c:spPr>
          <c:cat>
            <c:strRef>
              <c:f>'根拠グラフ'!$A$302:$A$304</c:f>
              <c:strCache>
                <c:ptCount val="0"/>
              </c:strCache>
            </c:strRef>
          </c:cat>
          <c:val>
            <c:numRef>
              <c:f>'根拠グラフ'!$D$302:$D$304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Noto Sans JP"/>
                <a:ea typeface="Noto Sans JP"/>
                <a:cs typeface="Noto Sans JP"/>
              </a:rPr>
              <a:t>暦月の翌月継続率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Noto Sans JP"/>
              <a:ea typeface="Noto Sans JP"/>
              <a:cs typeface="Noto Sans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Badあり</c:v>
          </c:tx>
          <c:spPr>
            <a:solidFill xmlns:a="http://schemas.openxmlformats.org/drawingml/2006/main">
              <a:srgbClr val="FFD100"/>
            </a:solidFill>
          </c:spPr>
          <c:cat>
            <c:strRef>
              <c:f>'根拠グラフ'!$A$329:$A$330</c:f>
              <c:strCache>
                <c:ptCount val="0"/>
              </c:strCache>
            </c:strRef>
          </c:cat>
          <c:val>
            <c:numRef>
              <c:f>'根拠グラフ'!$B$329:$B$330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Badなし</c:v>
          </c:tx>
          <c:spPr>
            <a:solidFill xmlns:a="http://schemas.openxmlformats.org/drawingml/2006/main">
              <a:srgbClr val="8C8C8C"/>
            </a:solidFill>
          </c:spPr>
          <c:cat>
            <c:strRef>
              <c:f>'根拠グラフ'!$A$329:$A$330</c:f>
              <c:strCache>
                <c:ptCount val="0"/>
              </c:strCache>
            </c:strRef>
          </c:cat>
          <c:val>
            <c:numRef>
              <c:f>'根拠グラフ'!$C$329:$C$330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JP"/>
                <a:ea typeface="Noto Sans JP"/>
                <a:cs typeface="Noto Sans JP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e79fb96a0a4ae2"/>
        </a:graphicData>
      </a:graphic>
    </xdr:graphicFrame>
    <xdr:clientData/>
  </xdr:twoCellAnchor>
  <xdr:twoCellAnchor>
    <xdr:from>
      <xdr:col>5</xdr:col>
      <xdr:colOff>0</xdr:colOff>
      <xdr:row>30</xdr:row>
      <xdr:rowOff>0</xdr:rowOff>
    </xdr:from>
    <xdr:to>
      <xdr:col>17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b550b7dba74f6d"/>
        </a:graphicData>
      </a:graphic>
    </xdr:graphicFrame>
    <xdr:clientData/>
  </xdr:twoCellAnchor>
  <xdr:twoCellAnchor>
    <xdr:from>
      <xdr:col>5</xdr:col>
      <xdr:colOff>0</xdr:colOff>
      <xdr:row>57</xdr:row>
      <xdr:rowOff>0</xdr:rowOff>
    </xdr:from>
    <xdr:to>
      <xdr:col>17</xdr:col>
      <xdr:colOff>0</xdr:colOff>
      <xdr:row>76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813c0ad1994251"/>
        </a:graphicData>
      </a:graphic>
    </xdr:graphicFrame>
    <xdr:clientData/>
  </xdr:twoCellAnchor>
  <xdr:twoCellAnchor>
    <xdr:from>
      <xdr:col>5</xdr:col>
      <xdr:colOff>0</xdr:colOff>
      <xdr:row>84</xdr:row>
      <xdr:rowOff>0</xdr:rowOff>
    </xdr:from>
    <xdr:to>
      <xdr:col>17</xdr:col>
      <xdr:colOff>0</xdr:colOff>
      <xdr:row>103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124dc2eb2b4313"/>
        </a:graphicData>
      </a:graphic>
    </xdr:graphicFrame>
    <xdr:clientData/>
  </xdr:twoCellAnchor>
  <xdr:twoCellAnchor>
    <xdr:from>
      <xdr:col>5</xdr:col>
      <xdr:colOff>0</xdr:colOff>
      <xdr:row>111</xdr:row>
      <xdr:rowOff>0</xdr:rowOff>
    </xdr:from>
    <xdr:to>
      <xdr:col>17</xdr:col>
      <xdr:colOff>0</xdr:colOff>
      <xdr:row>130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3f096b2fbb405f"/>
        </a:graphicData>
      </a:graphic>
    </xdr:graphicFrame>
    <xdr:clientData/>
  </xdr:twoCellAnchor>
  <xdr:twoCellAnchor>
    <xdr:from>
      <xdr:col>5</xdr:col>
      <xdr:colOff>0</xdr:colOff>
      <xdr:row>138</xdr:row>
      <xdr:rowOff>0</xdr:rowOff>
    </xdr:from>
    <xdr:to>
      <xdr:col>17</xdr:col>
      <xdr:colOff>0</xdr:colOff>
      <xdr:row>157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e6cd710e5d4b4b"/>
        </a:graphicData>
      </a:graphic>
    </xdr:graphicFrame>
    <xdr:clientData/>
  </xdr:twoCellAnchor>
  <xdr:twoCellAnchor>
    <xdr:from>
      <xdr:col>5</xdr:col>
      <xdr:colOff>0</xdr:colOff>
      <xdr:row>165</xdr:row>
      <xdr:rowOff>0</xdr:rowOff>
    </xdr:from>
    <xdr:to>
      <xdr:col>17</xdr:col>
      <xdr:colOff>0</xdr:colOff>
      <xdr:row>184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4b2cb69d8944d8"/>
        </a:graphicData>
      </a:graphic>
    </xdr:graphicFrame>
    <xdr:clientData/>
  </xdr:twoCellAnchor>
  <xdr:twoCellAnchor>
    <xdr:from>
      <xdr:col>5</xdr:col>
      <xdr:colOff>0</xdr:colOff>
      <xdr:row>192</xdr:row>
      <xdr:rowOff>0</xdr:rowOff>
    </xdr:from>
    <xdr:to>
      <xdr:col>17</xdr:col>
      <xdr:colOff>0</xdr:colOff>
      <xdr:row>211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36434561224de0"/>
        </a:graphicData>
      </a:graphic>
    </xdr:graphicFrame>
    <xdr:clientData/>
  </xdr:twoCellAnchor>
  <xdr:twoCellAnchor>
    <xdr:from>
      <xdr:col>5</xdr:col>
      <xdr:colOff>0</xdr:colOff>
      <xdr:row>219</xdr:row>
      <xdr:rowOff>0</xdr:rowOff>
    </xdr:from>
    <xdr:to>
      <xdr:col>17</xdr:col>
      <xdr:colOff>0</xdr:colOff>
      <xdr:row>238</xdr:row>
      <xdr:rowOff>0</xdr:rowOff>
    </xdr:to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9e3410e9f74c08"/>
        </a:graphicData>
      </a:graphic>
    </xdr:graphicFrame>
    <xdr:clientData/>
  </xdr:twoCellAnchor>
  <xdr:twoCellAnchor>
    <xdr:from>
      <xdr:col>5</xdr:col>
      <xdr:colOff>0</xdr:colOff>
      <xdr:row>246</xdr:row>
      <xdr:rowOff>0</xdr:rowOff>
    </xdr:from>
    <xdr:to>
      <xdr:col>17</xdr:col>
      <xdr:colOff>0</xdr:colOff>
      <xdr:row>265</xdr:row>
      <xdr:rowOff>0</xdr:rowOff>
    </xdr:to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16101d10cd4cff"/>
        </a:graphicData>
      </a:graphic>
    </xdr:graphicFrame>
    <xdr:clientData/>
  </xdr:twoCellAnchor>
  <xdr:twoCellAnchor>
    <xdr:from>
      <xdr:col>5</xdr:col>
      <xdr:colOff>0</xdr:colOff>
      <xdr:row>273</xdr:row>
      <xdr:rowOff>0</xdr:rowOff>
    </xdr:from>
    <xdr:to>
      <xdr:col>17</xdr:col>
      <xdr:colOff>0</xdr:colOff>
      <xdr:row>292</xdr:row>
      <xdr:rowOff>0</xdr:rowOff>
    </xdr:to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328aa2270b4b6f"/>
        </a:graphicData>
      </a:graphic>
    </xdr:graphicFrame>
    <xdr:clientData/>
  </xdr:twoCellAnchor>
  <xdr:twoCellAnchor>
    <xdr:from>
      <xdr:col>5</xdr:col>
      <xdr:colOff>0</xdr:colOff>
      <xdr:row>300</xdr:row>
      <xdr:rowOff>0</xdr:rowOff>
    </xdr:from>
    <xdr:to>
      <xdr:col>17</xdr:col>
      <xdr:colOff>0</xdr:colOff>
      <xdr:row>319</xdr:row>
      <xdr:rowOff>0</xdr:rowOff>
    </xdr:to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3377e6b51a45ba"/>
        </a:graphicData>
      </a:graphic>
    </xdr:graphicFrame>
    <xdr:clientData/>
  </xdr:twoCellAnchor>
  <xdr:twoCellAnchor>
    <xdr:from>
      <xdr:col>5</xdr:col>
      <xdr:colOff>0</xdr:colOff>
      <xdr:row>327</xdr:row>
      <xdr:rowOff>0</xdr:rowOff>
    </xdr:from>
    <xdr:to>
      <xdr:col>17</xdr:col>
      <xdr:colOff>0</xdr:colOff>
      <xdr:row>346</xdr:row>
      <xdr:rowOff>0</xdr:rowOff>
    </xdr:to>
    <xdr:graphicFrame macro="">
      <xdr:nvGraphicFramePr>
        <xdr:cNvPr id="1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c7467fe81c4cb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rrentRules" displayName="CurrentRules" ref="A1:M11" headerRowCount="1" totalsRowCount="0" totalsRowShown="0">
  <x:tableColumns count="13">
    <x:tableColumn id="1" name="ID"/>
    <x:tableColumn id="2" name="対象"/>
    <x:tableColumn id="3" name="項目"/>
    <x:tableColumn id="4" name="現行配点（PDF記載）"/>
    <x:tableColumn id="5" name="何を見るか"/>
    <x:tableColumn id="6" name="確認・判定方法"/>
    <x:tableColumn id="7" name="具体例"/>
    <x:tableColumn id="8" name="数値根拠"/>
    <x:tableColumn id="9" name="対応すること"/>
    <x:tableColumn id="10" name="顧客への質問例"/>
    <x:tableColumn id="11" name="グラフID"/>
    <x:tableColumn id="12" name="出典"/>
    <x:tableColumn id="13" name="根拠の限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didateRules" displayName="CandidateRules" ref="A1:S73" headerRowCount="1" totalsRowCount="0" totalsRowShown="0">
  <x:tableColumns count="19">
    <x:tableColumn id="1" name="順位"/>
    <x:tableColumn id="2" name="ID"/>
    <x:tableColumn id="3" name="現行との関係"/>
    <x:tableColumn id="4" name="優先度"/>
    <x:tableColumn id="5" name="項目"/>
    <x:tableColumn id="6" name="やさしい説明"/>
    <x:tableColumn id="7" name="集計定義案"/>
    <x:tableColumn id="8" name="具体例・数え方"/>
    <x:tableColumn id="9" name="採点の考え方（未採用）"/>
    <x:tableColumn id="10" name="優先する理由"/>
    <x:tableColumn id="11" name="根拠・観測値"/>
    <x:tableColumn id="12" name="顧客への対応"/>
    <x:tableColumn id="13" name="必要な記録"/>
    <x:tableColumn id="14" name="採用前の検証"/>
    <x:tableColumn id="15" name="グラフID"/>
    <x:tableColumn id="16" name="出典ID・頁"/>
    <x:tableColumn id="17" name="担当"/>
    <x:tableColumn id="18" name="検証状況"/>
    <x:tableColumn id="19" name="採否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Values" displayName="EvidenceValues" ref="A1:H80" headerRowCount="1" totalsRowCount="0" totalsRowShown="0">
  <x:tableColumns count="8">
    <x:tableColumn id="1" name="グラフID"/>
    <x:tableColumn id="2" name="区分"/>
    <x:tableColumn id="3" name="系列"/>
    <x:tableColumn id="4" name="割合"/>
    <x:tableColumn id="5" name="母数n"/>
    <x:tableColumn id="6" name="指標"/>
    <x:tableColumn id="7" name="出典"/>
    <x:tableColumn id="8" name="条件・注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2ceced094748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bb8e56ffbb4a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0aeed04b44147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d3a2722426f2495c" /></Relationships>
</file>

<file path=xl/worksheets/sheet1.xml><?xml version="1.0" encoding="utf-8"?>
<x:worksheet xmlns:x="http://schemas.openxmlformats.org/spreadsheetml/2006/main">
  <x:sheetPr>
    <x:tabColor rgb="FFFFD100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29" hidden="0" customWidth="1"/>
    <x:col min="5" max="5" width="38" hidden="0" customWidth="1"/>
    <x:col min="6" max="6" width="55" hidden="0" customWidth="1"/>
    <x:col min="7" max="7" width="48" hidden="0" customWidth="1"/>
    <x:col min="8" max="8" width="57" hidden="0" customWidth="1"/>
    <x:col min="9" max="9" width="48" hidden="0" customWidth="1"/>
    <x:col min="10" max="10" width="48" hidden="0" customWidth="1"/>
    <x:col min="11" max="11" width="12" hidden="0" customWidth="1"/>
    <x:col min="12" max="12" width="43" hidden="0" customWidth="1"/>
    <x:col min="13" max="13" width="52" hidden="0" customWidth="1"/>
  </x:cols>
  <x:sheetData>
    <x:row r="1" ht="34" customHeight="1">
      <x:c r="A1" s="5" t="str">
        <x:v>ID</x:v>
      </x:c>
      <x:c r="B1" s="5" t="str">
        <x:v>対象</x:v>
      </x:c>
      <x:c r="C1" s="5" t="str">
        <x:v>項目</x:v>
      </x:c>
      <x:c r="D1" s="5" t="str">
        <x:v>現行配点（PDF記載）</x:v>
      </x:c>
      <x:c r="E1" s="5" t="str">
        <x:v>何を見るか</x:v>
      </x:c>
      <x:c r="F1" s="5" t="str">
        <x:v>確認・判定方法</x:v>
      </x:c>
      <x:c r="G1" s="5" t="str">
        <x:v>具体例</x:v>
      </x:c>
      <x:c r="H1" s="5" t="str">
        <x:v>数値根拠</x:v>
      </x:c>
      <x:c r="I1" s="5" t="str">
        <x:v>対応すること</x:v>
      </x:c>
      <x:c r="J1" s="5" t="str">
        <x:v>顧客への質問例</x:v>
      </x:c>
      <x:c r="K1" s="5" t="str">
        <x:v>グラフID</x:v>
      </x:c>
      <x:c r="L1" s="5" t="str">
        <x:v>出典</x:v>
      </x:c>
      <x:c r="M1" s="5" t="str">
        <x:v>根拠の限界</x:v>
      </x:c>
    </x:row>
    <x:row r="2" ht="105" customHeight="1">
      <x:c r="A2" s="18" t="str">
        <x:v>M1</x:v>
      </x:c>
      <x:c r="B2" s="18" t="str">
        <x:v>当月新規</x:v>
      </x:c>
      <x:c r="C2" s="18" t="str">
        <x:v>2回目掲載</x:v>
      </x:c>
      <x:c r="D2" s="18" t="str">
        <x:v>2回以上で＋1</x:v>
      </x:c>
      <x:c r="E2" s="18" t="str">
        <x:v>一度のお試しで終わらず、再び募集したかを見る。</x:v>
      </x:c>
      <x:c r="F2" s="18" t="str">
        <x:v>当月の掲載回数を確認。2回以上なら＋1。件数と日数の表記が混在するため、正式なカウント単位は要照合。</x:v>
      </x:c>
      <x:c r="G2" s="18" t="str">
        <x:v>例：9月に1回のみは加点なし。2回なら＋1。</x:v>
      </x:c>
      <x:c r="H2" s="18" t="str">
        <x:v>2回目あり69〜75%、なし5.2%。初回作成が20日以前の店舗に限定。</x:v>
      </x:c>
      <x:c r="I2" s="18" t="str">
        <x:v>初回利用の感想を確認し、次に人が必要な業務・日を聞く。</x:v>
      </x:c>
      <x:c r="J2" s="18" t="str">
        <x:v>「次に人手が必要なのは、いつ・どの作業ですか？」</x:v>
      </x:c>
      <x:c r="K2" s="18" t="str">
        <x:v>R01</x:v>
      </x:c>
      <x:c r="L2" s="18" t="str">
        <x:v>PDF p.5–6／旧設計書④ B4:D12</x:v>
      </x:c>
      <x:c r="M2" s="18" t="str">
        <x:v>行動の根拠あり。現行＋1点そのものの最適性は未検証。</x:v>
      </x:c>
    </x:row>
    <x:row r="3" ht="105" customHeight="1">
      <x:c r="A3" s="6" t="str">
        <x:v>M2</x:v>
      </x:c>
      <x:c r="B3" s="6" t="str">
        <x:v>当月新規</x:v>
      </x:c>
      <x:c r="C3" s="6" t="str">
        <x:v>掲載間隔</x:v>
      </x:c>
      <x:c r="D3" s="6" t="str">
        <x:v>1〜7日＋2／8〜14日＋1</x:v>
      </x:c>
      <x:c r="E3" s="6" t="str">
        <x:v>募集を繰り返しているかを見るための項目。</x:v>
      </x:c>
      <x:c r="F3" s="6" t="str">
        <x:v>PDF脚注は初回作成日から最新作成日までの日数。一方、見出しは「次の作成」と記載。0日・15日以上等は明記なし。</x:v>
      </x:c>
      <x:c r="G3" s="6" t="str">
        <x:v>例：初回9/1、最新9/6なら差5日で＋2。次に9/20公開すると差19日となるため要確認。</x:v>
      </x:c>
      <x:c r="H3" s="6" t="str">
        <x:v>4週目にも掲載75.5%、初回のみ19.2%。これは「1〜7日間隔」の直接検証ではない。</x:v>
      </x:c>
      <x:c r="I3" s="6" t="str">
        <x:v>最後に募集した日と次回の予定を確認し、募集が止まった理由を聞く。</x:v>
      </x:c>
      <x:c r="J3" s="6" t="str">
        <x:v>「次のシフトで不足する日は決まっていますか？」</x:v>
      </x:c>
      <x:c r="K3" s="6" t="str">
        <x:v>R02</x:v>
      </x:c>
      <x:c r="L3" s="6" t="str">
        <x:v>PDF p.5–6／旧設計書④ B14:D22</x:v>
      </x:c>
      <x:c r="M3" s="6" t="str">
        <x:v>現行条件と根拠の定義が異なる。継続掲載すると点が下がる可能性を確認。</x:v>
      </x:c>
    </x:row>
    <x:row r="4" ht="105" customHeight="1">
      <x:c r="A4" s="18" t="str">
        <x:v>M3</x:v>
      </x:c>
      <x:c r="B4" s="18" t="str">
        <x:v>当月新規</x:v>
      </x:c>
      <x:c r="C4" s="18" t="str">
        <x:v>当月掲載数</x:v>
      </x:c>
      <x:c r="D4" s="18" t="str">
        <x:v>当月5回以上で＋2</x:v>
      </x:c>
      <x:c r="E4" s="18" t="str">
        <x:v>募集の利用量が積み上がっているかを見る。</x:v>
      </x:c>
      <x:c r="F4" s="18" t="str">
        <x:v>当月の掲載回数が5回以上で＋2。旧Excelには＋1の記載もあるため、PDFを現行記載として採用。</x:v>
      </x:c>
      <x:c r="G4" s="18" t="str">
        <x:v>例：当月4回は加点なし。5回で＋2。M1と両方満たせば、この2項目で＋3。</x:v>
      </x:c>
      <x:c r="H4" s="18" t="str">
        <x:v>5件以上76.1%、2件69.0%とする旧設計書の集約値。差7.1pt。母集団の照合が必要。</x:v>
      </x:c>
      <x:c r="I4" s="18" t="str">
        <x:v>必要な業務・日ごとに募集を整理する。実需のない募集を点数目的で作らない。</x:v>
      </x:c>
      <x:c r="J4" s="18" t="str">
        <x:v>「ほかの日や作業にも、人手の不足はありますか？」</x:v>
      </x:c>
      <x:c r="K4" s="18" t="str">
        <x:v>R03</x:v>
      </x:c>
      <x:c r="L4" s="18" t="str">
        <x:v>PDF p.5–6／旧設計書④ B24:D33</x:v>
      </x:c>
      <x:c r="M4" s="18" t="str">
        <x:v>利用量との関係はあるが、5件に特別な境界があるとは未確認。</x:v>
      </x:c>
    </x:row>
    <x:row r="5" ht="105" customHeight="1">
      <x:c r="A5" s="6" t="str">
        <x:v>M4</x:v>
      </x:c>
      <x:c r="B5" s="6" t="str">
        <x:v>当月新規</x:v>
      </x:c>
      <x:c r="C5" s="6" t="str">
        <x:v>翌月ヨミ</x:v>
      </x:c>
      <x:c r="D5" s="6" t="str">
        <x:v>A＋2／B＋1／C−1</x:v>
      </x:c>
      <x:c r="E5" s="6" t="str">
        <x:v>翌月の利用について、顧客とどこまで合意したかを見る。</x:v>
      </x:c>
      <x:c r="F5" s="6" t="str">
        <x:v>対象月を翌月に合わせてヨミを確認。Aは日付まで、Bは時期まで合意した状態。C＋/C−のまとめ方、その他区分は要確認。</x:v>
      </x:c>
      <x:c r="G5" s="6" t="str">
        <x:v>例：翌月の稼働日まで合意してAなら＋2。検討段階でCに分類される場合は−1。</x:v>
      </x:c>
      <x:c r="H5" s="6" t="str">
        <x:v>月初A93.3%（n149）、B70.0%（n170）、C＋45.5%（n301）。C全体の値ではない。</x:v>
      </x:c>
      <x:c r="I5" s="6" t="str">
        <x:v>業務・人数・稼働日・公開日を具体化し、顧客の合意を記録する。</x:v>
      </x:c>
      <x:c r="J5" s="6" t="str">
        <x:v>「何日に何名必要ですか？ 募集はいつ公開できますか？」</x:v>
      </x:c>
      <x:c r="K5" s="6" t="str">
        <x:v>R04</x:v>
      </x:c>
      <x:c r="L5" s="6" t="str">
        <x:v>PDF p.5,7／旧設計書④ B35:D43</x:v>
      </x:c>
      <x:c r="M5" s="6" t="str">
        <x:v>単一コホートの関連。営業判断のばらつきと未来情報の混入に注意。</x:v>
      </x:c>
    </x:row>
    <x:row r="6" ht="105" customHeight="1">
      <x:c r="A6" s="18" t="str">
        <x:v>M5</x:v>
      </x:c>
      <x:c r="B6" s="18" t="str">
        <x:v>当月新規</x:v>
      </x:c>
      <x:c r="C6" s="18" t="str">
        <x:v>Bad体験</x:v>
      </x:c>
      <x:c r="D6" s="18" t="str">
        <x:v>アラートありで−1</x:v>
      </x:c>
      <x:c r="E6" s="18" t="str">
        <x:v>初回利用の問題や、再利用を妨げることが起きたかを見る。</x:v>
      </x:c>
      <x:c r="F6" s="18" t="str">
        <x:v>アクションシートの🚨を確認し、ありなら−1。原資料のBadには稼働なし・未評価・ワーカーキャンセルが含まれる。</x:v>
      </x:c>
      <x:c r="G6" s="18" t="str">
        <x:v>例：🚨ありなら−1。アラート未入力と「問題なし」は同じ意味ではない。</x:v>
      </x:c>
      <x:c r="H6" s="18" t="str">
        <x:v>5掲載以上：Badあり74.0%、なし74.6%。5未満：あり44.9%、なし41.2%。一律の低下は確認できない。</x:v>
      </x:c>
      <x:c r="I6" s="18" t="str">
        <x:v>何が起きたか、解決したか、次回利用への不安が残るかを確認する。</x:v>
      </x:c>
      <x:c r="J6" s="18" t="str">
        <x:v>「今回困ったことはありましたか？ 次に使ううえで残る不安は何ですか？」</x:v>
      </x:c>
      <x:c r="K6" s="18" t="str">
        <x:v>G08</x:v>
      </x:c>
      <x:c r="L6" s="18" t="str">
        <x:v>PDF p.5,7／未達要因分析 p.5</x:v>
      </x:c>
      <x:c r="M6" s="18" t="str">
        <x:v>44.9%と74.0%は掲載量も異なる。差29.1ptをBad単独の効果にしない。</x:v>
      </x:c>
    </x:row>
    <x:row r="7" ht="105" customHeight="1">
      <x:c r="A7" s="6" t="str">
        <x:v>T1</x:v>
      </x:c>
      <x:c r="B7" s="6" t="str">
        <x:v>翌月未継続</x:v>
      </x:c>
      <x:c r="C7" s="6" t="str">
        <x:v>現在ヨミ</x:v>
      </x:c>
      <x:c r="D7" s="6" t="str">
        <x:v>A＋2／B＋1／C−1</x:v>
      </x:c>
      <x:c r="E7" s="6" t="str">
        <x:v>まだ翌月掲載がない顧客の、現在の利用合意を見る。</x:v>
      </x:c>
      <x:c r="F7" s="6" t="str">
        <x:v>翌月の対象月について、最新ヨミを確認する。既に1件以上掲載した顧客は卒業して対象外。</x:v>
      </x:c>
      <x:c r="G7" s="6" t="str">
        <x:v>例：8月新規を9月に確認。9月掲載なし・Aなら＋2。9月掲載ありなら採点対象外。</x:v>
      </x:c>
      <x:c r="H7" s="6" t="str">
        <x:v>M4と同じR04が間接根拠。17日時点の未継続者に限定した係数ではない。</x:v>
      </x:c>
      <x:c r="I7" s="6" t="str">
        <x:v>合意があるのに公開していない理由を確認し、公開までの支援を決める。</x:v>
      </x:c>
      <x:c r="J7" s="6" t="str">
        <x:v>「合意した日程は変わりありませんか？ 公開に必要なことは何ですか？」</x:v>
      </x:c>
      <x:c r="K7" s="6" t="str">
        <x:v>R04</x:v>
      </x:c>
      <x:c r="L7" s="6" t="str">
        <x:v>PDF p.3,5,10／旧設計書④ B35:D43</x:v>
      </x:c>
      <x:c r="M7" s="6" t="str">
        <x:v>当月新規の全体と翌月未継続者を混ぜて評価しない。</x:v>
      </x:c>
    </x:row>
    <x:row r="8" ht="105" customHeight="1">
      <x:c r="A8" s="18" t="str">
        <x:v>T2</x:v>
      </x:c>
      <x:c r="B8" s="18" t="str">
        <x:v>翌月未継続</x:v>
      </x:c>
      <x:c r="C8" s="18" t="str">
        <x:v>C＋の未接触</x:v>
      </x:c>
      <x:c r="D8" s="18" t="str">
        <x:v>C＋かつ接触空欄／15日以上で−1</x:v>
      </x:c>
      <x:c r="E8" s="18" t="str">
        <x:v>検討中の顧客を、連絡が取れないまま放置していないかを見る。</x:v>
      </x:c>
      <x:c r="F8" s="18" t="str">
        <x:v>現在C＋で、最終接触日が空欄、または判定日との差が15日以上なら−1。接触と架電の区別を揃える。</x:v>
      </x:c>
      <x:c r="G8" s="18" t="str">
        <x:v>例：9/17判定、最終接触9/2なら15日で−1。9/3なら14日なのでこの減点はなし。</x:v>
      </x:c>
      <x:c r="H8" s="18" t="str">
        <x:v>直接の継続率比較なし。月末5週目に失注確定91件という間接根拠。15日の最適性は未検証。</x:v>
      </x:c>
      <x:c r="I8" s="18" t="str">
        <x:v>検討の障害と判断日を確認し、次の約束を記録する。</x:v>
      </x:c>
      <x:c r="J8" s="18" t="str">
        <x:v>「何が決まれば利用できますか？ いつまでに判断できそうですか？」</x:v>
      </x:c>
      <x:c r="K8" s="18" t="str"/>
      <x:c r="L8" s="18" t="str">
        <x:v>PDF p.5／旧設計書③ O列・④ B55:D62</x:v>
      </x:c>
      <x:c r="M8" s="18" t="str">
        <x:v>C＋になってからの日数ではなく、最後の接触からの日数。</x:v>
      </x:c>
    </x:row>
    <x:row r="9" ht="105" customHeight="1">
      <x:c r="A9" s="6" t="str">
        <x:v>T3</x:v>
      </x:c>
      <x:c r="B9" s="6" t="str">
        <x:v>翌月未継続</x:v>
      </x:c>
      <x:c r="C9" s="6" t="str">
        <x:v>前月の初回掲載時期</x:v>
      </x:c>
      <x:c r="D9" s="6" t="str">
        <x:v>前月1〜10日−2／11〜20日−1／21日以降0</x:v>
      </x:c>
      <x:c r="E9" s="6" t="str">
        <x:v>初回掲載が前月のいつだったかで区分する。</x:v>
      </x:c>
      <x:c r="F9" s="6" t="str">
        <x:v>前月の初回掲載日の日にちを使う。今日から10日・20日経過という意味ではない。</x:v>
      </x:c>
      <x:c r="G9" s="6" t="str">
        <x:v>例：9月判定で初回8/8なら−2、8/15なら−1、8/25なら0。</x:v>
      </x:c>
      <x:c r="H9" s="6" t="str">
        <x:v>下旬開始の月次継続61.0%、60日生存39.5%。異なる判定窓の比較であり、−2/−1の直接根拠ではない。</x:v>
      </x:c>
      <x:c r="I9" s="6" t="str">
        <x:v>初回からの経過期間と実際の需要を確認する。日付だけで意欲が低いと決めない。</x:v>
      </x:c>
      <x:c r="J9" s="6" t="str">
        <x:v>「初回の募集以降、次の人手が必要になる予定はありますか？」</x:v>
      </x:c>
      <x:c r="K9" s="6" t="str">
        <x:v>R05</x:v>
      </x:c>
      <x:c r="L9" s="6" t="str">
        <x:v>PDF p.5,7／旧設計書④ B64:D72</x:v>
      </x:c>
      <x:c r="M9" s="6" t="str">
        <x:v>初回時期は顧客が今から変えられない属性。補正・比較区分への分離候補。</x:v>
      </x:c>
    </x:row>
    <x:row r="10" ht="105" customHeight="1">
      <x:c r="A10" s="18" t="str">
        <x:v>T4</x:v>
      </x:c>
      <x:c r="B10" s="18" t="str">
        <x:v>翌月未継続</x:v>
      </x:c>
      <x:c r="C10" s="18" t="str">
        <x:v>前月掲載数</x:v>
      </x:c>
      <x:c r="D10" s="18" t="str">
        <x:v>前月5回以上で＋1</x:v>
      </x:c>
      <x:c r="E10" s="18" t="str">
        <x:v>前月に一定量の利用があったかを見る。</x:v>
      </x:c>
      <x:c r="F10" s="18" t="str">
        <x:v>判定する月の前月の掲載回数が5回以上なら＋1。当月新規のM3は＋2なので混同しない。</x:v>
      </x:c>
      <x:c r="G10" s="18" t="str">
        <x:v>例：9月未継続、8月の掲載が5回なら＋1。9月の回数を使わない。</x:v>
      </x:c>
      <x:c r="H10" s="18" t="str">
        <x:v>M3と同じR03が関連根拠。翌月未継続者だけでの＋1点の有効性は未検証。</x:v>
      </x:c>
      <x:c r="I10" s="18" t="str">
        <x:v>前月使った業務に、今月も不足があるかを聞く。</x:v>
      </x:c>
      <x:c r="J10" s="18" t="str">
        <x:v>「先月募集した作業は、今月も人手が必要ですか？」</x:v>
      </x:c>
      <x:c r="K10" s="18" t="str">
        <x:v>R03</x:v>
      </x:c>
      <x:c r="L10" s="18" t="str">
        <x:v>PDF p.5／旧設計書④ B24:D33</x:v>
      </x:c>
      <x:c r="M10" s="18" t="str">
        <x:v>前月実績と当月実績を分けて保持する。</x:v>
      </x:c>
    </x:row>
    <x:row r="11" ht="105" customHeight="1">
      <x:c r="A11" s="6" t="str">
        <x:v>T5</x:v>
      </x:c>
      <x:c r="B11" s="6" t="str">
        <x:v>翌月未継続</x:v>
      </x:c>
      <x:c r="C11" s="6" t="str">
        <x:v>Bad体験</x:v>
      </x:c>
      <x:c r="D11" s="6" t="str">
        <x:v>アラートありで−1</x:v>
      </x:c>
      <x:c r="E11" s="6" t="str">
        <x:v>前月から残る問題が、今月の利用を妨げていないかを見る。</x:v>
      </x:c>
      <x:c r="F11" s="6" t="str">
        <x:v>アクションシートの🚨ありで−1。解決済みアラートの扱い・解除条件は要確認。</x:v>
      </x:c>
      <x:c r="G11" s="6" t="str">
        <x:v>例：前月の問題が未解決で🚨ありなら−1。解決済みの記録は別途残す。</x:v>
      </x:c>
      <x:c r="H11" s="6" t="str">
        <x:v>M5と同じG08。一律の−1点を支持する直接効果は確認できない。</x:v>
      </x:c>
      <x:c r="I11" s="6" t="str">
        <x:v>未解決事項を担当へつなぎ、解決日と次回利用意向を確認する。</x:v>
      </x:c>
      <x:c r="J11" s="6" t="str">
        <x:v>「前回の問題は解消しましたか？ 再利用に必要な対応は何ですか？」</x:v>
      </x:c>
      <x:c r="K11" s="6" t="str">
        <x:v>G08</x:v>
      </x:c>
      <x:c r="L11" s="6" t="str">
        <x:v>PDF p.5／未達要因分析 p.5</x:v>
      </x:c>
      <x:c r="M11" s="6" t="str">
        <x:v>継続支援の対象外でも、問い合わせ・問題対応は必要に応じて行う。</x:v>
      </x:c>
    </x:row>
  </x:sheetData>
  <x:pageMargins left="0.7" right="0.7" top="0.75" bottom="0.75" header="0.3" footer="0.3"/>
  <x:tableParts count="1">
    <x:tablePart xmlns:r="http://schemas.openxmlformats.org/officeDocument/2006/relationships" r:id="R642ceced09474860"/>
  </x:tableParts>
</x:worksheet>
</file>

<file path=xl/worksheets/sheet2.xml><?xml version="1.0" encoding="utf-8"?>
<x:worksheet xmlns:x="http://schemas.openxmlformats.org/spreadsheetml/2006/main">
  <x:sheetPr>
    <x:tabColor rgb="FFFFD100"/>
  </x:sheetPr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7" hidden="0" customWidth="1"/>
    <x:col min="2" max="2" width="9" hidden="0" customWidth="1"/>
    <x:col min="3" max="3" width="16" hidden="0" customWidth="1"/>
    <x:col min="4" max="4" width="12" hidden="0" customWidth="1"/>
    <x:col min="5" max="5" width="30" hidden="0" customWidth="1"/>
    <x:col min="6" max="6" width="44" hidden="0" customWidth="1"/>
    <x:col min="7" max="7" width="54" hidden="0" customWidth="1"/>
    <x:col min="8" max="8" width="57" hidden="0" customWidth="1"/>
    <x:col min="9" max="9" width="48" hidden="0" customWidth="1"/>
    <x:col min="10" max="10" width="48" hidden="0" customWidth="1"/>
    <x:col min="11" max="11" width="47" hidden="0" customWidth="1"/>
    <x:col min="12" max="12" width="45" hidden="0" customWidth="1"/>
    <x:col min="13" max="13" width="38" hidden="0" customWidth="1"/>
    <x:col min="14" max="14" width="45" hidden="0" customWidth="1"/>
    <x:col min="15" max="15" width="12" hidden="0" customWidth="1"/>
    <x:col min="16" max="16" width="18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34" customHeight="1">
      <x:c r="A1" s="5" t="str">
        <x:v>順位</x:v>
      </x:c>
      <x:c r="B1" s="5" t="str">
        <x:v>ID</x:v>
      </x:c>
      <x:c r="C1" s="5" t="str">
        <x:v>現行との関係</x:v>
      </x:c>
      <x:c r="D1" s="5" t="str">
        <x:v>優先度</x:v>
      </x:c>
      <x:c r="E1" s="5" t="str">
        <x:v>項目</x:v>
      </x:c>
      <x:c r="F1" s="5" t="str">
        <x:v>やさしい説明</x:v>
      </x:c>
      <x:c r="G1" s="5" t="str">
        <x:v>集計定義案</x:v>
      </x:c>
      <x:c r="H1" s="5" t="str">
        <x:v>具体例・数え方</x:v>
      </x:c>
      <x:c r="I1" s="5" t="str">
        <x:v>採点の考え方（未採用）</x:v>
      </x:c>
      <x:c r="J1" s="5" t="str">
        <x:v>優先する理由</x:v>
      </x:c>
      <x:c r="K1" s="5" t="str">
        <x:v>根拠・観測値</x:v>
      </x:c>
      <x:c r="L1" s="5" t="str">
        <x:v>顧客への対応</x:v>
      </x:c>
      <x:c r="M1" s="5" t="str">
        <x:v>必要な記録</x:v>
      </x:c>
      <x:c r="N1" s="5" t="str">
        <x:v>採用前の検証</x:v>
      </x:c>
      <x:c r="O1" s="5" t="str">
        <x:v>グラフID</x:v>
      </x:c>
      <x:c r="P1" s="5" t="str">
        <x:v>出典ID・頁</x:v>
      </x:c>
      <x:c r="Q1" s="5" t="str">
        <x:v>担当</x:v>
      </x:c>
      <x:c r="R1" s="5" t="str">
        <x:v>検証状況</x:v>
      </x:c>
      <x:c r="S1" s="5" t="str">
        <x:v>採否</x:v>
      </x:c>
    </x:row>
    <x:row r="2" ht="75" customHeight="1">
      <x:c r="A2" s="18" t="n">
        <x:v>1</x:v>
      </x:c>
      <x:c r="B2" s="18" t="str">
        <x:v>N01</x:v>
      </x:c>
      <x:c r="C2" s="18" t="str">
        <x:v>新規追加</x:v>
      </x:c>
      <x:c r="D2" s="18" t="str">
        <x:v>P1</x:v>
      </x:c>
      <x:c r="E2" s="18" t="str">
        <x:v>初月の募集仕事開始日数</x:v>
      </x:c>
      <x:c r="F2" s="18" t="str">
        <x:v>募集した仕事の日付が何日分あるか</x:v>
      </x:c>
      <x:c r="G2" s="18" t="str">
        <x:v>初回公開日起点30日内の募集について、仕事開始日の日付を重複除去。将来情報は判定日時点まで</x:v>
      </x:c>
      <x:c r="H2" s="18" t="str">
        <x:v>9/3の募集を3件出しても1日分。9/3・9/5・9/8なら3日分。</x:v>
      </x:c>
      <x:c r="I2" s="18" t="str">
        <x:v>4日分を加点境界の検証候補にする。現時点で点は付けない。</x:v>
      </x:c>
      <x:c r="J2" s="18" t="str">
        <x:v>Lowの直接数値あり。現行の件数では測れない利用日の広さ</x:v>
      </x:c>
      <x:c r="K2" s="18" t="str">
        <x:v>1日19.8%、4日50.0%、10日70.7%</x:v>
      </x:c>
      <x:c r="L2" s="18" t="str">
        <x:v>不足日を確認し、必要な複数日分の募集を支援</x:v>
      </x:c>
      <x:c r="M2" s="18" t="str">
        <x:v>公開日時・仕事開始日時・募集ID</x:v>
      </x:c>
      <x:c r="N2" s="18" t="str">
        <x:v>Low対象で同一観測窓・募集量別に検証</x:v>
      </x:c>
      <x:c r="O2" s="18" t="str">
        <x:v>G01</x:v>
      </x:c>
      <x:c r="P2" s="18" t="str">
        <x:v>G p.25</x:v>
      </x:c>
      <x:c r="Q2" s="7" t="str"/>
      <x:c r="R2" s="7" t="str">
        <x:v>未着手</x:v>
      </x:c>
      <x:c r="S2" s="7" t="str">
        <x:v>未定</x:v>
      </x:c>
    </x:row>
    <x:row r="3" ht="75" customHeight="1">
      <x:c r="A3" s="6" t="n">
        <x:v>2</x:v>
      </x:c>
      <x:c r="B3" s="6" t="str">
        <x:v>N02</x:v>
      </x:c>
      <x:c r="C3" s="6" t="str">
        <x:v>現行リズムの置換</x:v>
      </x:c>
      <x:c r="D3" s="6" t="str">
        <x:v>P1</x:v>
      </x:c>
      <x:c r="E3" s="6" t="str">
        <x:v>週別掲載パターン・4週目掲載</x:v>
      </x:c>
      <x:c r="F3" s="6" t="str">
        <x:v>何週にわたって募集を公開したか</x:v>
      </x:c>
      <x:c r="G3" s="6" t="str">
        <x:v>初回公開日を1日目とし1〜7、8〜14、15〜21、22〜28日の公開有無を記録</x:v>
      </x:c>
      <x:c r="H3" s="6" t="str">
        <x:v>9/1初回なら9/1〜7が1週目、9/22〜28が4週目。各週の公開有無を記録。</x:v>
      </x:c>
      <x:c r="I3" s="6" t="str">
        <x:v>4週目あり・なし、掲載した週数を比較。現行の間隔項目の置換候補。</x:v>
      </x:c>
      <x:c r="J3" s="6" t="str">
        <x:v>現行の初回からの間隔と区別。習慣を直接把握</x:v>
      </x:c>
      <x:c r="K3" s="6" t="str">
        <x:v>2〜4週掲載87%、追加週なし16%</x:v>
      </x:c>
      <x:c r="L3" s="6" t="str">
        <x:v>顧客の公開サイクルに合わせ再掲載を支援</x:v>
      </x:c>
      <x:c r="M3" s="6" t="str">
        <x:v>公開日時・店舗ID</x:v>
      </x:c>
      <x:c r="N3" s="6" t="str">
        <x:v>Low対象で同一観測窓・募集量別に検証</x:v>
      </x:c>
      <x:c r="O3" s="6" t="str">
        <x:v>G02</x:v>
      </x:c>
      <x:c r="P3" s="6" t="str">
        <x:v>P p.14</x:v>
      </x:c>
      <x:c r="Q3" s="7" t="str"/>
      <x:c r="R3" s="7" t="str">
        <x:v>未着手</x:v>
      </x:c>
      <x:c r="S3" s="7" t="str">
        <x:v>未定</x:v>
      </x:c>
    </x:row>
    <x:row r="4" ht="75" customHeight="1">
      <x:c r="A4" s="18" t="n">
        <x:v>3</x:v>
      </x:c>
      <x:c r="B4" s="18" t="str">
        <x:v>N03</x:v>
      </x:c>
      <x:c r="C4" s="18" t="str">
        <x:v>Bad項目の分解</x:v>
      </x:c>
      <x:c r="D4" s="18" t="str">
        <x:v>P1</x:v>
      </x:c>
      <x:c r="E4" s="18" t="str">
        <x:v>初回Good評価有無</x:v>
      </x:c>
      <x:c r="F4" s="18" t="str">
        <x:v>初回に働いた人へ企業がGood評価を付けたか</x:v>
      </x:c>
      <x:c r="G4" s="18" t="str">
        <x:v>初回予定日の実稼働ワーカーに企業がGoodを付与したか。未評価・Badを別保持</x:v>
      </x:c>
      <x:c r="H4" s="18" t="str">
        <x:v>1人にGood、1人未評価ならGoodあり・未評価ありを別々に記録。</x:v>
      </x:c>
      <x:c r="I4" s="18" t="str">
        <x:v>Goodありを加点候補にする。未評価をBad扱いしない。</x:v>
      </x:c>
      <x:c r="J4" s="18" t="str">
        <x:v>Lowで追加掲載率に明瞭な差。体験の良否を分離</x:v>
      </x:c>
      <x:c r="K4" s="18" t="str">
        <x:v>計画・単発55.8%対28.0%、差27.8pt</x:v>
      </x:c>
      <x:c r="L4" s="18" t="str">
        <x:v>体験の理由を確認し、未評価ならレビュー案内</x:v>
      </x:c>
      <x:c r="M4" s="18" t="str">
        <x:v>実稼働・評価者方向・評価日時・評価値</x:v>
      </x:c>
      <x:c r="N4" s="18" t="str">
        <x:v>Low対象で同一観測窓・募集量別に検証</x:v>
      </x:c>
      <x:c r="O4" s="18" t="str">
        <x:v>G03</x:v>
      </x:c>
      <x:c r="P4" s="18" t="str">
        <x:v>G p.20</x:v>
      </x:c>
      <x:c r="Q4" s="7" t="str"/>
      <x:c r="R4" s="7" t="str">
        <x:v>未着手</x:v>
      </x:c>
      <x:c r="S4" s="7" t="str">
        <x:v>未定</x:v>
      </x:c>
    </x:row>
    <x:row r="5" ht="75" customHeight="1">
      <x:c r="A5" s="6" t="n">
        <x:v>4</x:v>
      </x:c>
      <x:c r="B5" s="6" t="str">
        <x:v>N04</x:v>
      </x:c>
      <x:c r="C5" s="6" t="str">
        <x:v>Bad項目の分解</x:v>
      </x:c>
      <x:c r="D5" s="6" t="str">
        <x:v>P1</x:v>
      </x:c>
      <x:c r="E5" s="6" t="str">
        <x:v>初回予定日の実稼働成立</x:v>
      </x:c>
      <x:c r="F5" s="6" t="str">
        <x:v>初回の予定日に実際に働いた人がいたか</x:v>
      </x:c>
      <x:c r="G5" s="6" t="str">
        <x:v>初回の仕事開始日の募集で実稼働人数が1以上</x:v>
      </x:c>
      <x:c r="H5" s="6" t="str">
        <x:v>応募成立だけは未達。勤務が完了した人が1人以上なら実稼働あり。</x:v>
      </x:c>
      <x:c r="I5" s="6" t="str">
        <x:v>実稼働ありを加点候補にする。予定が未来なら判定待ち。</x:v>
      </x:c>
      <x:c r="J5" s="6" t="str">
        <x:v>未マッチ・キャンセルを混ぜず、価値提供の成立を測る</x:v>
      </x:c>
      <x:c r="K5" s="6" t="str">
        <x:v>緊急・単発64.9%対48.0%、差16.9pt</x:v>
      </x:c>
      <x:c r="L5" s="6" t="str">
        <x:v>未成立の原因を解消し次回の稼働を確保</x:v>
      </x:c>
      <x:c r="M5" s="6" t="str">
        <x:v>仕事開始日・実稼働人数・キャンセル原因</x:v>
      </x:c>
      <x:c r="N5" s="6" t="str">
        <x:v>Low対象で同一観測窓・募集量別に検証</x:v>
      </x:c>
      <x:c r="O5" s="6" t="str">
        <x:v>G04</x:v>
      </x:c>
      <x:c r="P5" s="6" t="str">
        <x:v>G p.17</x:v>
      </x:c>
      <x:c r="Q5" s="7" t="str"/>
      <x:c r="R5" s="7" t="str">
        <x:v>未着手</x:v>
      </x:c>
      <x:c r="S5" s="7" t="str">
        <x:v>未定</x:v>
      </x:c>
    </x:row>
    <x:row r="6" ht="75" customHeight="1">
      <x:c r="A6" s="18" t="n">
        <x:v>5</x:v>
      </x:c>
      <x:c r="B6" s="18" t="str">
        <x:v>N05</x:v>
      </x:c>
      <x:c r="C6" s="18" t="str">
        <x:v>新規追加</x:v>
      </x:c>
      <x:c r="D6" s="18" t="str">
        <x:v>P1</x:v>
      </x:c>
      <x:c r="E6" s="18" t="str">
        <x:v>計画掲載有無・リードタイム</x:v>
      </x:c>
      <x:c r="F6" s="18" t="str">
        <x:v>勤務日より前に余裕を持って公開したか</x:v>
      </x:c>
      <x:c r="G6" s="18" t="str">
        <x:v>初月に仕事開始日まで2日以上の募集を公開したか。日付差と時間差は区別</x:v>
      </x:c>
      <x:c r="H6" s="18" t="str">
        <x:v>9/1公開・9/3勤務は日付差2日。48時間の差とは限らない。</x:v>
      </x:c>
      <x:c r="I6" s="18" t="str">
        <x:v>2日以上前の公開ありを加点候補。時間差との定義を固定。</x:v>
      </x:c>
      <x:c r="J6" s="18" t="str">
        <x:v>Lowの募集日数別比較あり。募集条件への介入が可能</x:v>
      </x:c>
      <x:c r="K6" s="18" t="str">
        <x:v>募集4〜6日：58.0%対47.8%、差10.2pt</x:v>
      </x:c>
      <x:c r="L6" s="18" t="str">
        <x:v>次の不足日を事前確認して早期公開</x:v>
      </x:c>
      <x:c r="M6" s="18" t="str">
        <x:v>公開日時・仕事開始日時</x:v>
      </x:c>
      <x:c r="N6" s="18" t="str">
        <x:v>初回利用パターン・募集日数別に再現確認</x:v>
      </x:c>
      <x:c r="O6" s="18" t="str">
        <x:v>G05</x:v>
      </x:c>
      <x:c r="P6" s="18" t="str">
        <x:v>G p.31</x:v>
      </x:c>
      <x:c r="Q6" s="7" t="str"/>
      <x:c r="R6" s="7" t="str">
        <x:v>未着手</x:v>
      </x:c>
      <x:c r="S6" s="7" t="str">
        <x:v>未定</x:v>
      </x:c>
    </x:row>
    <x:row r="7" ht="75" customHeight="1">
      <x:c r="A7" s="6" t="n">
        <x:v>6</x:v>
      </x:c>
      <x:c r="B7" s="6" t="str">
        <x:v>N06</x:v>
      </x:c>
      <x:c r="C7" s="6" t="str">
        <x:v>新規追加</x:v>
      </x:c>
      <x:c r="D7" s="6" t="str">
        <x:v>P2</x:v>
      </x:c>
      <x:c r="E7" s="6" t="str">
        <x:v>募集開始時間帯数</x:v>
      </x:c>
      <x:c r="F7" s="6" t="str">
        <x:v>朝・昼・夕・夜の何区分で募集したか</x:v>
      </x:c>
      <x:c r="G7" s="6" t="str">
        <x:v>初月の仕事開始時刻を原典の4時間帯へ分類して重複数を集計</x:v>
      </x:c>
      <x:c r="H7" s="6" t="str">
        <x:v>7時と10時はどちらも朝で1区分。7時と17時なら2区分。</x:v>
      </x:c>
      <x:c r="I7" s="6" t="str">
        <x:v>区分数を検証。元分析は全体なのでLowで確かめる。</x:v>
      </x:c>
      <x:c r="J7" s="6" t="str">
        <x:v>募集量別でも関連。中長期向けに有力だがLow検証が必要</x:v>
      </x:c>
      <x:c r="K7" s="6" t="str">
        <x:v>初月6〜10件：1帯41.1%、4帯57.5%</x:v>
      </x:c>
      <x:c r="L7" s="6" t="str">
        <x:v>顧客に実在する別時間帯の業務を確認</x:v>
      </x:c>
      <x:c r="M7" s="6" t="str">
        <x:v>仕事開始日時・募集ID</x:v>
      </x:c>
      <x:c r="N7" s="6" t="str">
        <x:v>Low対象で同一観測窓・募集量別に検証</x:v>
      </x:c>
      <x:c r="O7" s="6" t="str">
        <x:v>G06</x:v>
      </x:c>
      <x:c r="P7" s="6" t="str">
        <x:v>L p.34</x:v>
      </x:c>
      <x:c r="Q7" s="7" t="str"/>
      <x:c r="R7" s="7" t="str">
        <x:v>未着手</x:v>
      </x:c>
      <x:c r="S7" s="7" t="str">
        <x:v>未定</x:v>
      </x:c>
    </x:row>
    <x:row r="8" ht="75" customHeight="1">
      <x:c r="A8" s="18" t="n">
        <x:v>7</x:v>
      </x:c>
      <x:c r="B8" s="18" t="str">
        <x:v>N07</x:v>
      </x:c>
      <x:c r="C8" s="18" t="str">
        <x:v>新規追加</x:v>
      </x:c>
      <x:c r="D8" s="18" t="str">
        <x:v>P2</x:v>
      </x:c>
      <x:c r="E8" s="18" t="str">
        <x:v>自走再掲載・代行依存</x:v>
      </x:c>
      <x:c r="F8" s="18" t="str">
        <x:v>営業が操作しなくても顧客が公開できるか</x:v>
      </x:c>
      <x:c r="G8" s="18" t="str">
        <x:v>別日の募集公開を顧客本人が操作。営業代行・画面同行・完全自走を区別</x:v>
      </x:c>
      <x:c r="H8" s="18" t="str">
        <x:v>営業が全部入力＝代行。画面共有で手伝う＝同行。顧客だけで公開＝自走。</x:v>
      </x:c>
      <x:c r="I8" s="18" t="str">
        <x:v>自走達成を加点候補。自走の種類と再掲載日時を記録。</x:v>
      </x:c>
      <x:c r="J8" s="18" t="str">
        <x:v>完了定義に不可欠だが継続率の定量根拠は未確認</x:v>
      </x:c>
      <x:c r="K8" s="18" t="str">
        <x:v>追加仮説・数値なし</x:v>
      </x:c>
      <x:c r="L8" s="18" t="str">
        <x:v>操作主体のログ取得可否を確認</x:v>
      </x:c>
      <x:c r="M8" s="18" t="str">
        <x:v>操作主体・支援履歴</x:v>
      </x:c>
      <x:c r="N8" s="18" t="str">
        <x:v>自走の定義と取得可能性を先に確認</x:v>
      </x:c>
      <x:c r="O8" s="18" t="str"/>
      <x:c r="P8" s="18" t="str">
        <x:v>S p.</x:v>
      </x:c>
      <x:c r="Q8" s="7" t="str"/>
      <x:c r="R8" s="7" t="str">
        <x:v>未着手</x:v>
      </x:c>
      <x:c r="S8" s="7" t="str">
        <x:v>未定</x:v>
      </x:c>
    </x:row>
    <x:row r="9" ht="75" customHeight="1">
      <x:c r="A9" s="6" t="n">
        <x:v>8</x:v>
      </x:c>
      <x:c r="B9" s="6" t="str">
        <x:v>N08</x:v>
      </x:c>
      <x:c r="C9" s="6" t="str">
        <x:v>新規追加</x:v>
      </x:c>
      <x:c r="D9" s="6" t="str">
        <x:v>P2</x:v>
      </x:c>
      <x:c r="E9" s="6" t="str">
        <x:v>ログイン・求人作成画面訪問後の未公開</x:v>
      </x:c>
      <x:c r="F9" s="6" t="str">
        <x:v>作成しようとして途中で止まっていないか</x:v>
      </x:c>
      <x:c r="G9" s="6" t="str">
        <x:v>ログイン／求人画面閲覧／作成開始後に公開がない状態を時刻付きで記録</x:v>
      </x:c>
      <x:c r="H9" s="6" t="str">
        <x:v>求人画面を開き下書きを作ったが公開なし。公開操作のつまずきを確認。</x:v>
      </x:c>
      <x:c r="I9" s="6" t="str">
        <x:v>スコアより支援開始の合図として優先検証。</x:v>
      </x:c>
      <x:c r="J9" s="6" t="str">
        <x:v>追加掲載を妨げる障害の発見に使える</x:v>
      </x:c>
      <x:c r="K9" s="6" t="str">
        <x:v>アクセスのみの層が約15〜20%。継続効果は未確定</x:v>
      </x:c>
      <x:c r="L9" s="6" t="str">
        <x:v>作成中断の原因を確認・テック支援</x:v>
      </x:c>
      <x:c r="M9" s="6" t="str">
        <x:v>画面イベント・公開日時</x:v>
      </x:c>
      <x:c r="N9" s="6" t="str">
        <x:v>アクセス有無ではなく介入効果を比較</x:v>
      </x:c>
      <x:c r="O9" s="6" t="str"/>
      <x:c r="P9" s="6" t="str">
        <x:v>L p.37〜38</x:v>
      </x:c>
      <x:c r="Q9" s="7" t="str"/>
      <x:c r="R9" s="7" t="str">
        <x:v>未着手</x:v>
      </x:c>
      <x:c r="S9" s="7" t="str">
        <x:v>未定</x:v>
      </x:c>
    </x:row>
    <x:row r="10" ht="75" customHeight="1">
      <x:c r="A10" s="18" t="n">
        <x:v>9</x:v>
      </x:c>
      <x:c r="B10" s="18" t="str">
        <x:v>N09</x:v>
      </x:c>
      <x:c r="C10" s="18" t="str">
        <x:v>Bad項目の分解</x:v>
      </x:c>
      <x:c r="D10" s="18" t="str">
        <x:v>P2</x:v>
      </x:c>
      <x:c r="E10" s="18" t="str">
        <x:v>未評価の滞留・レビュー実施率</x:v>
      </x:c>
      <x:c r="F10" s="18" t="str">
        <x:v>勤務後の評価が終わっているか</x:v>
      </x:c>
      <x:c r="G10" s="18" t="str">
        <x:v>評価対象の完了稼働数に対する評価済み数、未評価経過時間</x:v>
      </x:c>
      <x:c r="H10" s="18" t="str">
        <x:v>勤務終了10件のうち評価済み8件なら80%。残り2件の経過時間も記録。</x:v>
      </x:c>
      <x:c r="I10" s="18" t="str">
        <x:v>評価済み率と未評価時間を検証。率の分母は評価対象の完了勤務。</x:v>
      </x:c>
      <x:c r="J10" s="18" t="str">
        <x:v>Goodなしと未評価を切り分ける</x:v>
      </x:c>
      <x:c r="K10" s="18" t="str">
        <x:v>G03は未評価単独の効果ではない</x:v>
      </x:c>
      <x:c r="L10" s="18" t="str">
        <x:v>レビュー方法を案内</x:v>
      </x:c>
      <x:c r="M10" s="18" t="str">
        <x:v>評価対象数・評価日時</x:v>
      </x:c>
      <x:c r="N10" s="18" t="str">
        <x:v>Good／Bad／未評価の3群比較</x:v>
      </x:c>
      <x:c r="O10" s="18" t="str">
        <x:v>G03</x:v>
      </x:c>
      <x:c r="P10" s="18" t="str">
        <x:v>G p.20</x:v>
      </x:c>
      <x:c r="Q10" s="7" t="str"/>
      <x:c r="R10" s="7" t="str">
        <x:v>未着手</x:v>
      </x:c>
      <x:c r="S10" s="7" t="str">
        <x:v>未定</x:v>
      </x:c>
    </x:row>
    <x:row r="11" ht="75" customHeight="1">
      <x:c r="A11" s="6" t="n">
        <x:v>10</x:v>
      </x:c>
      <x:c r="B11" s="6" t="str">
        <x:v>N10</x:v>
      </x:c>
      <x:c r="C11" s="6" t="str">
        <x:v>新規追加</x:v>
      </x:c>
      <x:c r="D11" s="6" t="str">
        <x:v>P2</x:v>
      </x:c>
      <x:c r="E11" s="6" t="str">
        <x:v>稼働率・マッチング後の稼働転換率</x:v>
      </x:c>
      <x:c r="F11" s="6" t="str">
        <x:v>募集から実稼働まで何人つながったか</x:v>
      </x:c>
      <x:c r="G11" s="6" t="str">
        <x:v>実稼働人数÷募集人数、実稼働人数÷マッチング人数を別計算</x:v>
      </x:c>
      <x:c r="H11" s="6" t="str">
        <x:v>募集10人・マッチ8人・実稼働6人なら、稼働率60%、マッチ後転換75%。</x:v>
      </x:c>
      <x:c r="I11" s="6" t="str">
        <x:v>勤務終了済みの募集に限定して比較。予定人数を混ぜない。</x:v>
      </x:c>
      <x:c r="J11" s="6" t="str">
        <x:v>掲載習慣と合わせて見る成果実現</x:v>
      </x:c>
      <x:c r="K11" s="6" t="str">
        <x:v>掲載1〜3日では稼働率80%以上でも継続44.4%</x:v>
      </x:c>
      <x:c r="L11" s="6" t="str">
        <x:v>未充足・キャンセル原因の改善</x:v>
      </x:c>
      <x:c r="M11" s="6" t="str">
        <x:v>募集人数・マッチ数・実稼働数</x:v>
      </x:c>
      <x:c r="N11" s="6" t="str">
        <x:v>未来稼働予定分を分母から分離</x:v>
      </x:c>
      <x:c r="O11" s="6" t="str"/>
      <x:c r="P11" s="6" t="str">
        <x:v>G p.27</x:v>
      </x:c>
      <x:c r="Q11" s="7" t="str"/>
      <x:c r="R11" s="7" t="str">
        <x:v>未着手</x:v>
      </x:c>
      <x:c r="S11" s="7" t="str">
        <x:v>未定</x:v>
      </x:c>
    </x:row>
    <x:row r="12" ht="75" customHeight="1">
      <x:c r="A12" s="18" t="n">
        <x:v>11</x:v>
      </x:c>
      <x:c r="B12" s="18" t="str">
        <x:v>N11</x:v>
      </x:c>
      <x:c r="C12" s="18" t="str">
        <x:v>Bad項目の分解</x:v>
      </x:c>
      <x:c r="D12" s="18" t="str">
        <x:v>P2</x:v>
      </x:c>
      <x:c r="E12" s="18" t="str">
        <x:v>未解決障害・Bad後の再掲載</x:v>
      </x:c>
      <x:c r="F12" s="18" t="str">
        <x:v>問題が解消し、再利用に戻れたか</x:v>
      </x:c>
      <x:c r="G12" s="18" t="str">
        <x:v>課題発生日・解決日・次回公開／実稼働日を記録</x:v>
      </x:c>
      <x:c r="H12" s="18" t="str">
        <x:v>キャンセル後、対応済み・顧客納得・再掲載日を別々に記録。</x:v>
      </x:c>
      <x:c r="I12" s="18" t="str">
        <x:v>未解決を支援の合図にする。解決と再掲載の前後関係を追う。</x:v>
      </x:c>
      <x:c r="J12" s="18" t="str">
        <x:v>Bad履歴の永久減点を避け、現在の停止原因を測る</x:v>
      </x:c>
      <x:c r="K12" s="18" t="str">
        <x:v>一律Bad減点は表から支持されない</x:v>
      </x:c>
      <x:c r="L12" s="18" t="str">
        <x:v>障害解消と次回実行を確認</x:v>
      </x:c>
      <x:c r="M12" s="18" t="str">
        <x:v>CS案件・解決履歴・掲載ログ</x:v>
      </x:c>
      <x:c r="N12" s="18" t="str">
        <x:v>Bad以前の状態を揃えて発生後を追跡</x:v>
      </x:c>
      <x:c r="O12" s="18" t="str">
        <x:v>G08</x:v>
      </x:c>
      <x:c r="P12" s="18" t="str">
        <x:v>B p.5</x:v>
      </x:c>
      <x:c r="Q12" s="7" t="str"/>
      <x:c r="R12" s="7" t="str">
        <x:v>未着手</x:v>
      </x:c>
      <x:c r="S12" s="7" t="str">
        <x:v>未定</x:v>
      </x:c>
    </x:row>
    <x:row r="13" ht="75" customHeight="1">
      <x:c r="A13" s="6" t="n">
        <x:v>12</x:v>
      </x:c>
      <x:c r="B13" s="6" t="str">
        <x:v>N12</x:v>
      </x:c>
      <x:c r="C13" s="6" t="str">
        <x:v>ヨミ項目の分解</x:v>
      </x:c>
      <x:c r="D13" s="6" t="str">
        <x:v>P2</x:v>
      </x:c>
      <x:c r="E13" s="6" t="str">
        <x:v>次回の業務・人数・日程・公開日の合意</x:v>
      </x:c>
      <x:c r="F13" s="6" t="str">
        <x:v>次回利用の約束が具体的か</x:v>
      </x:c>
      <x:c r="G13" s="6" t="str">
        <x:v>次回業務、人数、稼働日、公開期限の4情報と顧客合意の記録</x:v>
      </x:c>
      <x:c r="H13" s="6" t="str">
        <x:v>「また使う」だけでは不足。「9/25配膳2名、9/20公開に合意」と記録。</x:v>
      </x:c>
      <x:c r="I13" s="6" t="str">
        <x:v>4情報の充足を検証。ヨミと重複して点を足さない。</x:v>
      </x:c>
      <x:c r="J13" s="6" t="str">
        <x:v>主観的ヨミを客観条件に置き換える</x:v>
      </x:c>
      <x:c r="K13" s="6" t="str">
        <x:v>A93.3%、B70.0%、C+45.5%。詳細項目別効果は未検証</x:v>
      </x:c>
      <x:c r="L13" s="6" t="str">
        <x:v>具体化から予定どおりの公開まで支援</x:v>
      </x:c>
      <x:c r="M13" s="6" t="str">
        <x:v>音源・合意日・公開日</x:v>
      </x:c>
      <x:c r="N13" s="6" t="str">
        <x:v>合意取得時点固定。掲載済み情報の混入禁止</x:v>
      </x:c>
      <x:c r="O13" s="6" t="str"/>
      <x:c r="P13" s="6" t="str">
        <x:v>B p.4</x:v>
      </x:c>
      <x:c r="Q13" s="7" t="str"/>
      <x:c r="R13" s="7" t="str">
        <x:v>未着手</x:v>
      </x:c>
      <x:c r="S13" s="7" t="str">
        <x:v>未定</x:v>
      </x:c>
    </x:row>
    <x:row r="14" ht="75" customHeight="1">
      <x:c r="A14" s="18" t="n">
        <x:v>13</x:v>
      </x:c>
      <x:c r="B14" s="18" t="str">
        <x:v>N13</x:v>
      </x:c>
      <x:c r="C14" s="18" t="str">
        <x:v>新規追加</x:v>
      </x:c>
      <x:c r="D14" s="18" t="str">
        <x:v>P2</x:v>
      </x:c>
      <x:c r="E14" s="18" t="str">
        <x:v>定常・単発・季節需要と次回需要日</x:v>
      </x:c>
      <x:c r="F14" s="18" t="str">
        <x:v>次の需要がいつ来るか</x:v>
      </x:c>
      <x:c r="G14" s="18" t="str">
        <x:v>需要頻度・目的・次回発生日を音源等で確認。未聴取は別値</x:v>
      </x:c>
      <x:c r="H14" s="18" t="str">
        <x:v>毎週金曜2人不足と、年1回の催事だけの需要を分ける。</x:v>
      </x:c>
      <x:c r="I14" s="18" t="str">
        <x:v>需要の少なさ自体を減点せず、比較区分と接触時期に使う。</x:v>
      </x:c>
      <x:c r="J14" s="18" t="str">
        <x:v>顧客適合性とオンボ進捗を分離できる</x:v>
      </x:c>
      <x:c r="K14" s="18" t="str">
        <x:v>仕事消失系47%との記載。効果量ではない</x:v>
      </x:c>
      <x:c r="L14" s="18" t="str">
        <x:v>需要周期に合う提案</x:v>
      </x:c>
      <x:c r="M14" s="18" t="str">
        <x:v>SDR引継ぎ・音源</x:v>
      </x:c>
      <x:c r="N14" s="18" t="str">
        <x:v>需要なしと未聴取を混ぜない</x:v>
      </x:c>
      <x:c r="O14" s="18" t="str"/>
      <x:c r="P14" s="18" t="str">
        <x:v>B p.2〜3</x:v>
      </x:c>
      <x:c r="Q14" s="7" t="str"/>
      <x:c r="R14" s="7" t="str">
        <x:v>未着手</x:v>
      </x:c>
      <x:c r="S14" s="7" t="str">
        <x:v>未定</x:v>
      </x:c>
    </x:row>
    <x:row r="15" ht="75" customHeight="1">
      <x:c r="A15" s="6" t="n">
        <x:v>14</x:v>
      </x:c>
      <x:c r="B15" s="6" t="str">
        <x:v>N14</x:v>
      </x:c>
      <x:c r="C15" s="6" t="str">
        <x:v>新規追加</x:v>
      </x:c>
      <x:c r="D15" s="6" t="str">
        <x:v>P2</x:v>
      </x:c>
      <x:c r="E15" s="6" t="str">
        <x:v>初週に翌週稼働分を公開</x:v>
      </x:c>
      <x:c r="F15" s="6" t="str">
        <x:v>初週に次の週の仕事も募集したか</x:v>
      </x:c>
      <x:c r="G15" s="6" t="str">
        <x:v>初回公開から7日内に8〜14日目の仕事開始分を公開</x:v>
      </x:c>
      <x:c r="H15" s="6" t="str">
        <x:v>9/1開始なら、9/1〜7中に9/8〜14勤務分を公開できたか。</x:v>
      </x:c>
      <x:c r="I15" s="6" t="str">
        <x:v>先の利用準備として検証。計画掲載・週別掲載との重複を確認。</x:v>
      </x:c>
      <x:c r="J15" s="6" t="str">
        <x:v>翌週分を先に準備する行動を測れる</x:v>
      </x:c>
      <x:c r="K15" s="6" t="str">
        <x:v>関連あり。比較値を正確に取得できていない</x:v>
      </x:c>
      <x:c r="L15" s="6" t="str">
        <x:v>不足シフトの事前確保</x:v>
      </x:c>
      <x:c r="M15" s="6" t="str">
        <x:v>公開日時・仕事開始日時</x:v>
      </x:c>
      <x:c r="N15" s="6" t="str">
        <x:v>計画掲載との追加説明力を比較</x:v>
      </x:c>
      <x:c r="O15" s="6" t="str"/>
      <x:c r="P15" s="6" t="str">
        <x:v>P p.16</x:v>
      </x:c>
      <x:c r="Q15" s="7" t="str"/>
      <x:c r="R15" s="7" t="str">
        <x:v>未着手</x:v>
      </x:c>
      <x:c r="S15" s="7" t="str">
        <x:v>未定</x:v>
      </x:c>
    </x:row>
    <x:row r="16" ht="75" customHeight="1">
      <x:c r="A16" s="18" t="n">
        <x:v>15</x:v>
      </x:c>
      <x:c r="B16" s="18" t="str">
        <x:v>N15</x:v>
      </x:c>
      <x:c r="C16" s="18" t="str">
        <x:v>新規追加</x:v>
      </x:c>
      <x:c r="D16" s="18" t="str">
        <x:v>P2</x:v>
      </x:c>
      <x:c r="E16" s="18" t="str">
        <x:v>募集曜日の広がり</x:v>
      </x:c>
      <x:c r="F16" s="18" t="str">
        <x:v>平日と週末の両方で仕事を募集したか</x:v>
      </x:c>
      <x:c r="G16" s="18" t="str">
        <x:v>初月の仕事開始日を平日／週末で分類</x:v>
      </x:c>
      <x:c r="H16" s="18" t="str">
        <x:v>火曜と土曜の募集なら両方。土曜と日曜だけなら週末のみ。</x:v>
      </x:c>
      <x:c r="I16" s="18" t="str">
        <x:v>一律加点を保留。少量利用層では順序が逆転している。</x:v>
      </x:c>
      <x:c r="J16" s="18" t="str">
        <x:v>募集量により方向が異なり一律採用は不適</x:v>
      </x:c>
      <x:c r="K16" s="18" t="str">
        <x:v>11件以上：平日58.7%、両方66.9%。少量群では単調でない</x:v>
      </x:c>
      <x:c r="L16" s="18" t="str">
        <x:v>実需要に沿う別曜日の業務を確認</x:v>
      </x:c>
      <x:c r="M16" s="18" t="str">
        <x:v>仕事開始日・募集量</x:v>
      </x:c>
      <x:c r="N16" s="18" t="str">
        <x:v>Low対象で同一観測窓・募集量別に検証</x:v>
      </x:c>
      <x:c r="O16" s="18" t="str">
        <x:v>G07</x:v>
      </x:c>
      <x:c r="P16" s="18" t="str">
        <x:v>L p.34</x:v>
      </x:c>
      <x:c r="Q16" s="7" t="str"/>
      <x:c r="R16" s="7" t="str">
        <x:v>未着手</x:v>
      </x:c>
      <x:c r="S16" s="7" t="str">
        <x:v>未定</x:v>
      </x:c>
    </x:row>
    <x:row r="17" ht="75" customHeight="1">
      <x:c r="A17" s="6" t="n">
        <x:v>16</x:v>
      </x:c>
      <x:c r="B17" s="6" t="str">
        <x:v>N16</x:v>
      </x:c>
      <x:c r="C17" s="6" t="str">
        <x:v>新規追加</x:v>
      </x:c>
      <x:c r="D17" s="6" t="str">
        <x:v>P2</x:v>
      </x:c>
      <x:c r="E17" s="6" t="str">
        <x:v>リピーター稼働・再稼働人数</x:v>
      </x:c>
      <x:c r="F17" s="6" t="str">
        <x:v>以前働いた人がもう一度働いたか</x:v>
      </x:c>
      <x:c r="G17" s="6" t="str">
        <x:v>過去稼働済み同一ワーカーの再稼働有無・人数・割合</x:v>
      </x:c>
      <x:c r="H17" s="6" t="str">
        <x:v>前回のAさんが再勤務ならリピーター1人。お気に入り登録だけは別。</x:v>
      </x:c>
      <x:c r="I17" s="6" t="str">
        <x:v>再勤務の有無・割合を観測。現時点の直接効果は未確定。</x:v>
      </x:c>
      <x:c r="J17" s="6" t="str">
        <x:v>中期には有力。初月の追加効果は限定的</x:v>
      </x:c>
      <x:c r="K17" s="6" t="str">
        <x:v>募集日数10日以上で約5pt差との記載</x:v>
      </x:c>
      <x:c r="L17" s="6" t="str">
        <x:v>必要に応じ再稼働の仕組みを案内</x:v>
      </x:c>
      <x:c r="M17" s="6" t="str">
        <x:v>店舗ID・ワーカーID・実稼働日時</x:v>
      </x:c>
      <x:c r="N17" s="6" t="str">
        <x:v>掲載日数・稼働機会を揃える</x:v>
      </x:c>
      <x:c r="O17" s="6" t="str"/>
      <x:c r="P17" s="6" t="str">
        <x:v>G p.28〜29</x:v>
      </x:c>
      <x:c r="Q17" s="7" t="str"/>
      <x:c r="R17" s="7" t="str">
        <x:v>未着手</x:v>
      </x:c>
      <x:c r="S17" s="7" t="str">
        <x:v>未定</x:v>
      </x:c>
    </x:row>
    <x:row r="18" ht="75" customHeight="1">
      <x:c r="A18" s="18" t="n">
        <x:v>17</x:v>
      </x:c>
      <x:c r="B18" s="18" t="str">
        <x:v>N17</x:v>
      </x:c>
      <x:c r="C18" s="18" t="str">
        <x:v>新規追加</x:v>
      </x:c>
      <x:c r="D18" s="18" t="str">
        <x:v>P3</x:v>
      </x:c>
      <x:c r="E18" s="18" t="str">
        <x:v>写真枚数・仕事内容の具体性</x:v>
      </x:c>
      <x:c r="F18" s="18" t="str">
        <x:v>仕事内容が初めて読む人にも伝わるか</x:v>
      </x:c>
      <x:c r="G18" s="18" t="str">
        <x:v>募集の写真数、仕事内容の定義済みチェック項目</x:v>
      </x:c>
      <x:c r="H18" s="18" t="str">
        <x:v>写真4枚の有無と、作業・持ち物・集合場所の明記を別々に確認。</x:v>
      </x:c>
      <x:c r="I18" s="18" t="str">
        <x:v>4枚で加点とは未確定。写真の数と内容の質を分ける。</x:v>
      </x:c>
      <x:c r="J18" s="18" t="str">
        <x:v>募集改善で介入可能。元分析の対象・効果量要確認</x:v>
      </x:c>
      <x:c r="K18" s="18" t="str">
        <x:v>4枚以上の候補。原典数値未検証</x:v>
      </x:c>
      <x:c r="L18" s="18" t="str">
        <x:v>不足情報を改善</x:v>
      </x:c>
      <x:c r="M18" s="18" t="str">
        <x:v>募集本文・画像数</x:v>
      </x:c>
      <x:c r="N18" s="18" t="str">
        <x:v>Low対象で同一観測窓・募集量別に検証</x:v>
      </x:c>
      <x:c r="O18" s="18" t="str"/>
      <x:c r="P18" s="18" t="str">
        <x:v>S p.プロセスKPI整理 行4</x:v>
      </x:c>
      <x:c r="Q18" s="7" t="str"/>
      <x:c r="R18" s="7" t="str">
        <x:v>未着手</x:v>
      </x:c>
      <x:c r="S18" s="7" t="str">
        <x:v>未定</x:v>
      </x:c>
    </x:row>
    <x:row r="19" ht="75" customHeight="1">
      <x:c r="A19" s="6" t="n">
        <x:v>18</x:v>
      </x:c>
      <x:c r="B19" s="6" t="str">
        <x:v>N18</x:v>
      </x:c>
      <x:c r="C19" s="6" t="str">
        <x:v>新規追加</x:v>
      </x:c>
      <x:c r="D19" s="6" t="str">
        <x:v>P3</x:v>
      </x:c>
      <x:c r="E19" s="6" t="str">
        <x:v>利用ひな形数・任せる業務数</x:v>
      </x:c>
      <x:c r="F19" s="6" t="str">
        <x:v>複数の業務へ利用が広がったか</x:v>
      </x:c>
      <x:c r="G19" s="6" t="str">
        <x:v>公開実績のあるひな形ID数、異なる業務数</x:v>
      </x:c>
      <x:c r="H19" s="6" t="str">
        <x:v>配膳用と洗い場用の2種類を実際に公開。下書きだけは数えない。</x:v>
      </x:c>
      <x:c r="I19" s="6" t="str">
        <x:v>ひな形数と業務数を別記録して検証。</x:v>
      </x:c>
      <x:c r="J19" s="6" t="str">
        <x:v>機能利用数と実際の用途拡大を分けて検証</x:v>
      </x:c>
      <x:c r="K19" s="6" t="str">
        <x:v>複数ひな形と継続の関連記載。詳細未検証</x:v>
      </x:c>
      <x:c r="L19" s="6" t="str">
        <x:v>任せられる業務を具体化</x:v>
      </x:c>
      <x:c r="M19" s="6" t="str">
        <x:v>ひな形ID・業務分類</x:v>
      </x:c>
      <x:c r="N19" s="6" t="str">
        <x:v>Low対象で同一観測窓・募集量別に検証</x:v>
      </x:c>
      <x:c r="O19" s="6" t="str"/>
      <x:c r="P19" s="6" t="str">
        <x:v>S p.行3</x:v>
      </x:c>
      <x:c r="Q19" s="7" t="str"/>
      <x:c r="R19" s="7" t="str">
        <x:v>未着手</x:v>
      </x:c>
      <x:c r="S19" s="7" t="str">
        <x:v>未定</x:v>
      </x:c>
    </x:row>
    <x:row r="20" ht="75" customHeight="1">
      <x:c r="A20" s="18" t="n">
        <x:v>19</x:v>
      </x:c>
      <x:c r="B20" s="18" t="str">
        <x:v>N19</x:v>
      </x:c>
      <x:c r="C20" s="18" t="str">
        <x:v>新規追加</x:v>
      </x:c>
      <x:c r="D20" s="18" t="str">
        <x:v>P3</x:v>
      </x:c>
      <x:c r="E20" s="18" t="str">
        <x:v>企業のお気に入り登録数・プール倍率</x:v>
      </x:c>
      <x:c r="F20" s="18" t="str">
        <x:v>再依頼しやすいワーカーが増えたか</x:v>
      </x:c>
      <x:c r="G20" s="18" t="str">
        <x:v>企業が登録した人数とワーカー側の登録人数を別列。倍率分母は需要量を固定</x:v>
      </x:c>
      <x:c r="H20" s="18" t="str">
        <x:v>企業が登録したお気に入りと、店舗をお気に入りにしたワーカーは別。</x:v>
      </x:c>
      <x:c r="I20" s="18" t="str">
        <x:v>登録主体を固定。必要人数あたりの数も検証候補。</x:v>
      </x:c>
      <x:c r="J20" s="18" t="str">
        <x:v>低頻度顧客への15人閾値の適合性が未確認</x:v>
      </x:c>
      <x:c r="K20" s="18" t="str">
        <x:v>15人は既存整理の候補。評価方向・原典条件要確認</x:v>
      </x:c>
      <x:c r="L20" s="18" t="str">
        <x:v>再利用可能なワーカーとの関係づくり</x:v>
      </x:c>
      <x:c r="M20" s="18" t="str">
        <x:v>登録主体・登録日時・実稼働人数</x:v>
      </x:c>
      <x:c r="N20" s="18" t="str">
        <x:v>Low対象で同一観測窓・募集量別に検証</x:v>
      </x:c>
      <x:c r="O20" s="18" t="str"/>
      <x:c r="P20" s="18" t="str">
        <x:v>S p.行23</x:v>
      </x:c>
      <x:c r="Q20" s="7" t="str"/>
      <x:c r="R20" s="7" t="str">
        <x:v>未着手</x:v>
      </x:c>
      <x:c r="S20" s="7" t="str">
        <x:v>未定</x:v>
      </x:c>
    </x:row>
    <x:row r="21" ht="75" customHeight="1">
      <x:c r="A21" s="6" t="n">
        <x:v>20</x:v>
      </x:c>
      <x:c r="B21" s="6" t="str">
        <x:v>N20</x:v>
      </x:c>
      <x:c r="C21" s="6" t="str">
        <x:v>現行リズムの拡張</x:v>
      </x:c>
      <x:c r="D21" s="6" t="str">
        <x:v>P3</x:v>
      </x:c>
      <x:c r="E21" s="6" t="str">
        <x:v>掲載頻度の急減・最大空白期間</x:v>
      </x:c>
      <x:c r="F21" s="6" t="str">
        <x:v>普段より募集の間隔が空いていないか</x:v>
      </x:c>
      <x:c r="G21" s="6" t="str">
        <x:v>過去の公開間隔中央値からの乖離と最大空白期間</x:v>
      </x:c>
      <x:c r="H21" s="6" t="str">
        <x:v>毎週募集していた店が2週間公開なし。休業か需要減か操作問題かを確認。</x:v>
      </x:c>
      <x:c r="I21" s="6" t="str">
        <x:v>普段の頻度からの変化で支援対象を抽出。一律の日数は未確定。</x:v>
      </x:c>
      <x:c r="J21" s="6" t="str">
        <x:v>顧客ごとの定常周期に合わせたアラート候補</x:v>
      </x:c>
      <x:c r="K21" s="6" t="str">
        <x:v>仮説。競合利用を断定しない</x:v>
      </x:c>
      <x:c r="L21" s="6" t="str">
        <x:v>減少理由と次回需要を確認</x:v>
      </x:c>
      <x:c r="M21" s="6" t="str">
        <x:v>公開日時・過去履歴</x:v>
      </x:c>
      <x:c r="N21" s="6" t="str">
        <x:v>Low対象で同一観測窓・募集量別に検証</x:v>
      </x:c>
      <x:c r="O21" s="6" t="str"/>
      <x:c r="P21" s="6" t="str">
        <x:v>S p.行29〜30</x:v>
      </x:c>
      <x:c r="Q21" s="7" t="str"/>
      <x:c r="R21" s="7" t="str">
        <x:v>未着手</x:v>
      </x:c>
      <x:c r="S21" s="7" t="str">
        <x:v>未定</x:v>
      </x:c>
    </x:row>
    <x:row r="22" ht="75" customHeight="1">
      <x:c r="A22" s="18" t="n">
        <x:v>21</x:v>
      </x:c>
      <x:c r="B22" s="18" t="str">
        <x:v>N21</x:v>
      </x:c>
      <x:c r="C22" s="18" t="str">
        <x:v>新規追加</x:v>
      </x:c>
      <x:c r="D22" s="18" t="str">
        <x:v>P3</x:v>
      </x:c>
      <x:c r="E22" s="18" t="str">
        <x:v>タイトル文字数</x:v>
      </x:c>
      <x:c r="F22" s="18" t="str">
        <x:v>最適なタイトル文字数</x:v>
      </x:c>
      <x:c r="G22" s="18" t="str">
        <x:v>最適なタイトル文字数</x:v>
      </x:c>
      <x:c r="H22" s="18" t="str">
        <x:v>判定日を固定し、左記定義に該当する事実を日時付きで記録する。</x:v>
      </x:c>
      <x:c r="I22" s="18" t="str">
        <x:v>加点可否は検証後。採用・配点は未確定。</x:v>
      </x:c>
      <x:c r="J22" s="18" t="str">
        <x:v>既存整理シートの未検証候補</x:v>
      </x:c>
      <x:c r="K22" s="18" t="str">
        <x:v>短い方が稼働率高い分析と長い方が高い分析が併存。要精査</x:v>
      </x:c>
      <x:c r="L22" s="18" t="str">
        <x:v>必要な顧客への適切な利用を確認</x:v>
      </x:c>
      <x:c r="M22" s="18" t="str">
        <x:v>取得要確認</x:v>
      </x:c>
      <x:c r="N22" s="18" t="str">
        <x:v>Low対象で同一観測窓・募集量別に検証</x:v>
      </x:c>
      <x:c r="O22" s="18" t="str"/>
      <x:c r="P22" s="18" t="str">
        <x:v>S p.ヘルスコア構成要素 行5</x:v>
      </x:c>
      <x:c r="Q22" s="7" t="str"/>
      <x:c r="R22" s="7" t="str">
        <x:v>未着手</x:v>
      </x:c>
      <x:c r="S22" s="7" t="str">
        <x:v>未定</x:v>
      </x:c>
    </x:row>
    <x:row r="23" ht="75" customHeight="1">
      <x:c r="A23" s="6" t="n">
        <x:v>22</x:v>
      </x:c>
      <x:c r="B23" s="6" t="str">
        <x:v>N22</x:v>
      </x:c>
      <x:c r="C23" s="6" t="str">
        <x:v>新規追加</x:v>
      </x:c>
      <x:c r="D23" s="6" t="str">
        <x:v>P3</x:v>
      </x:c>
      <x:c r="E23" s="6" t="str">
        <x:v>未経験者歓迎タグ</x:v>
      </x:c>
      <x:c r="F23" s="6" t="str">
        <x:v>未経験者歓迎タグの有無</x:v>
      </x:c>
      <x:c r="G23" s="6" t="str">
        <x:v>未経験者歓迎タグの有無</x:v>
      </x:c>
      <x:c r="H23" s="6" t="str">
        <x:v>判定日を固定し、左記定義に該当する事実を日時付きで記録する。</x:v>
      </x:c>
      <x:c r="I23" s="6" t="str">
        <x:v>加点可否は検証後。採用・配点は未確定。</x:v>
      </x:c>
      <x:c r="J23" s="6" t="str">
        <x:v>既存整理シートの未検証候補</x:v>
      </x:c>
      <x:c r="K23" s="6" t="str">
        <x:v>一般公開で新規ワーカー中心の店舗で稼働率向上。介護で初稼働者+9pt</x:v>
      </x:c>
      <x:c r="L23" s="6" t="str">
        <x:v>必要な顧客への適切な利用を確認</x:v>
      </x:c>
      <x:c r="M23" s="6" t="str">
        <x:v>取得要確認</x:v>
      </x:c>
      <x:c r="N23" s="6" t="str">
        <x:v>Low対象で同一観測窓・募集量別に検証</x:v>
      </x:c>
      <x:c r="O23" s="6" t="str"/>
      <x:c r="P23" s="6" t="str">
        <x:v>S p.ヘルスコア構成要素 行6</x:v>
      </x:c>
      <x:c r="Q23" s="7" t="str"/>
      <x:c r="R23" s="7" t="str">
        <x:v>未着手</x:v>
      </x:c>
      <x:c r="S23" s="7" t="str">
        <x:v>未定</x:v>
      </x:c>
    </x:row>
    <x:row r="24" ht="75" customHeight="1">
      <x:c r="A24" s="18" t="n">
        <x:v>23</x:v>
      </x:c>
      <x:c r="B24" s="18" t="str">
        <x:v>N23</x:v>
      </x:c>
      <x:c r="C24" s="18" t="str">
        <x:v>新規追加</x:v>
      </x:c>
      <x:c r="D24" s="18" t="str">
        <x:v>P3</x:v>
      </x:c>
      <x:c r="E24" s="18" t="str">
        <x:v>AI雛形活用</x:v>
      </x:c>
      <x:c r="F24" s="18" t="str">
        <x:v>AI雛形活用の有無</x:v>
      </x:c>
      <x:c r="G24" s="18" t="str">
        <x:v>AI雛形活用の有無</x:v>
      </x:c>
      <x:c r="H24" s="18" t="str">
        <x:v>判定日を固定し、左記定義に該当する事実を日時付きで記録する。</x:v>
      </x:c>
      <x:c r="I24" s="18" t="str">
        <x:v>加点可否は検証後。採用・配点は未確定。</x:v>
      </x:c>
      <x:c r="J24" s="18" t="str">
        <x:v>既存整理シートの未検証候補</x:v>
      </x:c>
      <x:c r="K24" s="18" t="str">
        <x:v>na</x:v>
      </x:c>
      <x:c r="L24" s="18" t="str">
        <x:v>必要な顧客への適切な利用を確認</x:v>
      </x:c>
      <x:c r="M24" s="18" t="str">
        <x:v>取得要確認</x:v>
      </x:c>
      <x:c r="N24" s="18" t="str">
        <x:v>Low対象で同一観測窓・募集量別に検証</x:v>
      </x:c>
      <x:c r="O24" s="18" t="str"/>
      <x:c r="P24" s="18" t="str">
        <x:v>S p.ヘルスコア構成要素 行7</x:v>
      </x:c>
      <x:c r="Q24" s="7" t="str"/>
      <x:c r="R24" s="7" t="str">
        <x:v>未着手</x:v>
      </x:c>
      <x:c r="S24" s="7" t="str">
        <x:v>未定</x:v>
      </x:c>
    </x:row>
    <x:row r="25" ht="75" customHeight="1">
      <x:c r="A25" s="6" t="n">
        <x:v>24</x:v>
      </x:c>
      <x:c r="B25" s="6" t="str">
        <x:v>N24</x:v>
      </x:c>
      <x:c r="C25" s="6" t="str">
        <x:v>新規追加</x:v>
      </x:c>
      <x:c r="D25" s="6" t="str">
        <x:v>P3</x:v>
      </x:c>
      <x:c r="E25" s="6" t="str">
        <x:v>応募数/充足率</x:v>
      </x:c>
      <x:c r="F25" s="6" t="str">
        <x:v>募集に対する応募の充足度</x:v>
      </x:c>
      <x:c r="G25" s="6" t="str">
        <x:v>募集に対する応募の充足度</x:v>
      </x:c>
      <x:c r="H25" s="6" t="str">
        <x:v>判定日を固定し、左記定義に該当する事実を日時付きで記録する。</x:v>
      </x:c>
      <x:c r="I25" s="6" t="str">
        <x:v>加点可否は検証後。採用・配点は未確定。</x:v>
      </x:c>
      <x:c r="J25" s="6" t="str">
        <x:v>既存整理シートの未検証候補</x:v>
      </x:c>
      <x:c r="K25" s="6" t="str">
        <x:v>—（データ検証が必要）</x:v>
      </x:c>
      <x:c r="L25" s="6" t="str">
        <x:v>必要な顧客への適切な利用を確認</x:v>
      </x:c>
      <x:c r="M25" s="6" t="str">
        <x:v>取得要確認</x:v>
      </x:c>
      <x:c r="N25" s="6" t="str">
        <x:v>Low対象で同一観測窓・募集量別に検証</x:v>
      </x:c>
      <x:c r="O25" s="6" t="str"/>
      <x:c r="P25" s="6" t="str">
        <x:v>S p.ヘルスコア構成要素 行11</x:v>
      </x:c>
      <x:c r="Q25" s="7" t="str"/>
      <x:c r="R25" s="7" t="str">
        <x:v>未着手</x:v>
      </x:c>
      <x:c r="S25" s="7" t="str">
        <x:v>未定</x:v>
      </x:c>
    </x:row>
    <x:row r="26" ht="75" customHeight="1">
      <x:c r="A26" s="18" t="n">
        <x:v>25</x:v>
      </x:c>
      <x:c r="B26" s="18" t="str">
        <x:v>N25</x:v>
      </x:c>
      <x:c r="C26" s="18" t="str">
        <x:v>新規追加</x:v>
      </x:c>
      <x:c r="D26" s="18" t="str">
        <x:v>P3</x:v>
      </x:c>
      <x:c r="E26" s="18" t="str">
        <x:v>初回マッチング成否</x:v>
      </x:c>
      <x:c r="F26" s="18" t="str">
        <x:v>初回募集でマッチングしたか</x:v>
      </x:c>
      <x:c r="G26" s="18" t="str">
        <x:v>初回募集でマッチングしたか</x:v>
      </x:c>
      <x:c r="H26" s="18" t="str">
        <x:v>判定日を固定し、左記定義に該当する事実を日時付きで記録する。</x:v>
      </x:c>
      <x:c r="I26" s="18" t="str">
        <x:v>加点可否は検証後。採用・配点は未確定。</x:v>
      </x:c>
      <x:c r="J26" s="18" t="str">
        <x:v>既存整理シートの未検証候補</x:v>
      </x:c>
      <x:c r="K26" s="18" t="str">
        <x:v>—（データ検証が必要）</x:v>
      </x:c>
      <x:c r="L26" s="18" t="str">
        <x:v>必要な顧客への適切な利用を確認</x:v>
      </x:c>
      <x:c r="M26" s="18" t="str">
        <x:v>取得要確認</x:v>
      </x:c>
      <x:c r="N26" s="18" t="str">
        <x:v>Low対象で同一観測窓・募集量別に検証</x:v>
      </x:c>
      <x:c r="O26" s="18" t="str"/>
      <x:c r="P26" s="18" t="str">
        <x:v>S p.ヘルスコア構成要素 行12</x:v>
      </x:c>
      <x:c r="Q26" s="7" t="str"/>
      <x:c r="R26" s="7" t="str">
        <x:v>未着手</x:v>
      </x:c>
      <x:c r="S26" s="7" t="str">
        <x:v>未定</x:v>
      </x:c>
    </x:row>
    <x:row r="27" ht="75" customHeight="1">
      <x:c r="A27" s="6" t="n">
        <x:v>26</x:v>
      </x:c>
      <x:c r="B27" s="6" t="str">
        <x:v>N26</x:v>
      </x:c>
      <x:c r="C27" s="6" t="str">
        <x:v>新規追加</x:v>
      </x:c>
      <x:c r="D27" s="6" t="str">
        <x:v>P3</x:v>
      </x:c>
      <x:c r="E27" s="6" t="str">
        <x:v>稼働懸念フラグ</x:v>
      </x:c>
      <x:c r="F27" s="6" t="str">
        <x:v>募集は出したが稼働しなかった</x:v>
      </x:c>
      <x:c r="G27" s="6" t="str">
        <x:v>募集は出したが稼働しなかった</x:v>
      </x:c>
      <x:c r="H27" s="6" t="str">
        <x:v>判定日を固定し、左記定義に該当する事実を日時付きで記録する。</x:v>
      </x:c>
      <x:c r="I27" s="6" t="str">
        <x:v>加点可否は検証後。採用・配点は未確定。</x:v>
      </x:c>
      <x:c r="J27" s="6" t="str">
        <x:v>既存整理シートの未検証候補</x:v>
      </x:c>
      <x:c r="K27" s="6" t="str">
        <x:v>稼働未発生は離脱の最大リスク</x:v>
      </x:c>
      <x:c r="L27" s="6" t="str">
        <x:v>必要な顧客への適切な利用を確認</x:v>
      </x:c>
      <x:c r="M27" s="6" t="str">
        <x:v>取得要確認</x:v>
      </x:c>
      <x:c r="N27" s="6" t="str">
        <x:v>Low対象で同一観測窓・募集量別に検証</x:v>
      </x:c>
      <x:c r="O27" s="6" t="str"/>
      <x:c r="P27" s="6" t="str">
        <x:v>S p.ヘルスコア構成要素 行13</x:v>
      </x:c>
      <x:c r="Q27" s="7" t="str"/>
      <x:c r="R27" s="7" t="str">
        <x:v>未着手</x:v>
      </x:c>
      <x:c r="S27" s="7" t="str">
        <x:v>未定</x:v>
      </x:c>
    </x:row>
    <x:row r="28" ht="75" customHeight="1">
      <x:c r="A28" s="18" t="n">
        <x:v>27</x:v>
      </x:c>
      <x:c r="B28" s="18" t="str">
        <x:v>N27</x:v>
      </x:c>
      <x:c r="C28" s="18" t="str">
        <x:v>新規追加</x:v>
      </x:c>
      <x:c r="D28" s="18" t="str">
        <x:v>P3</x:v>
      </x:c>
      <x:c r="E28" s="18" t="str">
        <x:v>稼働時間</x:v>
      </x:c>
      <x:c r="F28" s="18" t="str">
        <x:v>初稼働が3時間程度であるか</x:v>
      </x:c>
      <x:c r="G28" s="18" t="str">
        <x:v>初稼働が3時間程度であるか</x:v>
      </x:c>
      <x:c r="H28" s="18" t="str">
        <x:v>判定日を固定し、左記定義に該当する事実を日時付きで記録する。</x:v>
      </x:c>
      <x:c r="I28" s="18" t="str">
        <x:v>加点可否は検証後。採用・配点は未確定。</x:v>
      </x:c>
      <x:c r="J28" s="18" t="str">
        <x:v>既存整理シートの未検証候補</x:v>
      </x:c>
      <x:c r="K28" s="18" t="str">
        <x:v>初稼働3時間がベスト。4時間超で継続率低下</x:v>
      </x:c>
      <x:c r="L28" s="18" t="str">
        <x:v>必要な顧客への適切な利用を確認</x:v>
      </x:c>
      <x:c r="M28" s="18" t="str">
        <x:v>取得要確認</x:v>
      </x:c>
      <x:c r="N28" s="18" t="str">
        <x:v>Low対象で同一観測窓・募集量別に検証</x:v>
      </x:c>
      <x:c r="O28" s="18" t="str"/>
      <x:c r="P28" s="18" t="str">
        <x:v>S p.ヘルスコア構成要素 行14</x:v>
      </x:c>
      <x:c r="Q28" s="7" t="str"/>
      <x:c r="R28" s="7" t="str">
        <x:v>未着手</x:v>
      </x:c>
      <x:c r="S28" s="7" t="str">
        <x:v>未定</x:v>
      </x:c>
    </x:row>
    <x:row r="29" ht="75" customHeight="1">
      <x:c r="A29" s="6" t="n">
        <x:v>28</x:v>
      </x:c>
      <x:c r="B29" s="6" t="str">
        <x:v>N28</x:v>
      </x:c>
      <x:c r="C29" s="6" t="str">
        <x:v>新規追加</x:v>
      </x:c>
      <x:c r="D29" s="6" t="str">
        <x:v>P3</x:v>
      </x:c>
      <x:c r="E29" s="6" t="str">
        <x:v>時給・交通費</x:v>
      </x:c>
      <x:c r="F29" s="6" t="str">
        <x:v>時給・交通費が適切であるか</x:v>
      </x:c>
      <x:c r="G29" s="6" t="str">
        <x:v>時給・交通費が適切であるか</x:v>
      </x:c>
      <x:c r="H29" s="6" t="str">
        <x:v>判定日を固定し、左記定義に該当する事実を日時付きで記録する。</x:v>
      </x:c>
      <x:c r="I29" s="6" t="str">
        <x:v>加点可否は検証後。採用・配点は未確定。</x:v>
      </x:c>
      <x:c r="J29" s="6" t="str">
        <x:v>既存整理シートの未検証候補</x:v>
      </x:c>
      <x:c r="K29" s="6" t="str">
        <x:v>初回稼働率と時給の相関は弱い。交通費500円以下でリピート率高い層あり</x:v>
      </x:c>
      <x:c r="L29" s="6" t="str">
        <x:v>必要な顧客への適切な利用を確認</x:v>
      </x:c>
      <x:c r="M29" s="6" t="str">
        <x:v>取得要確認</x:v>
      </x:c>
      <x:c r="N29" s="6" t="str">
        <x:v>Low対象で同一観測窓・募集量別に検証</x:v>
      </x:c>
      <x:c r="O29" s="6" t="str"/>
      <x:c r="P29" s="6" t="str">
        <x:v>S p.ヘルスコア構成要素 行15</x:v>
      </x:c>
      <x:c r="Q29" s="7" t="str"/>
      <x:c r="R29" s="7" t="str">
        <x:v>未着手</x:v>
      </x:c>
      <x:c r="S29" s="7" t="str">
        <x:v>未定</x:v>
      </x:c>
    </x:row>
    <x:row r="30" ht="75" customHeight="1">
      <x:c r="A30" s="18" t="n">
        <x:v>29</x:v>
      </x:c>
      <x:c r="B30" s="18" t="str">
        <x:v>N29</x:v>
      </x:c>
      <x:c r="C30" s="18" t="str">
        <x:v>属性補正</x:v>
      </x:c>
      <x:c r="D30" s="18" t="str">
        <x:v>別管理</x:v>
      </x:c>
      <x:c r="E30" s="18" t="str">
        <x:v>稼働ワーカーの職業属性</x:v>
      </x:c>
      <x:c r="F30" s="18" t="str">
        <x:v>ワーカーが学生の場合の有無</x:v>
      </x:c>
      <x:c r="G30" s="18" t="str">
        <x:v>ワーカーが学生の場合の有無</x:v>
      </x:c>
      <x:c r="H30" s="18" t="str">
        <x:v>判定日を固定し、左記定義に該当する事実を日時付きで記録する。</x:v>
      </x:c>
      <x:c r="I30" s="18" t="str">
        <x:v>完了点には加えない。採用・配点は未確定。</x:v>
      </x:c>
      <x:c r="J30" s="18" t="str">
        <x:v>既存整理シートの未検証候補</x:v>
      </x:c>
      <x:c r="K30" s="18" t="str">
        <x:v>職業別に継続率に差。学生はCORE転換率が低い</x:v>
      </x:c>
      <x:c r="L30" s="18" t="str">
        <x:v>必要な顧客への適切な利用を確認</x:v>
      </x:c>
      <x:c r="M30" s="18" t="str">
        <x:v>取得要確認</x:v>
      </x:c>
      <x:c r="N30" s="18" t="str">
        <x:v>Low対象で同一観測窓・募集量別に検証</x:v>
      </x:c>
      <x:c r="O30" s="18" t="str"/>
      <x:c r="P30" s="18" t="str">
        <x:v>S p.ヘルスコア構成要素 行16</x:v>
      </x:c>
      <x:c r="Q30" s="7" t="str"/>
      <x:c r="R30" s="7" t="str">
        <x:v>未着手</x:v>
      </x:c>
      <x:c r="S30" s="7" t="str">
        <x:v>未定</x:v>
      </x:c>
    </x:row>
    <x:row r="31" ht="75" customHeight="1">
      <x:c r="A31" s="6" t="n">
        <x:v>30</x:v>
      </x:c>
      <x:c r="B31" s="6" t="str">
        <x:v>N30</x:v>
      </x:c>
      <x:c r="C31" s="6" t="str">
        <x:v>新規追加</x:v>
      </x:c>
      <x:c r="D31" s="6" t="str">
        <x:v>P3</x:v>
      </x:c>
      <x:c r="E31" s="6" t="str">
        <x:v>勤務中トラブル</x:v>
      </x:c>
      <x:c r="F31" s="6" t="str">
        <x:v>CSへの問い合わせ有無</x:v>
      </x:c>
      <x:c r="G31" s="6" t="str">
        <x:v>CSへの問い合わせ有無</x:v>
      </x:c>
      <x:c r="H31" s="6" t="str">
        <x:v>判定日を固定し、左記定義に該当する事実を日時付きで記録する。</x:v>
      </x:c>
      <x:c r="I31" s="6" t="str">
        <x:v>加点可否は検証後。採用・配点は未確定。</x:v>
      </x:c>
      <x:c r="J31" s="6" t="str">
        <x:v>既存整理シートの未検証候補</x:v>
      </x:c>
      <x:c r="K31" s="6" t="str">
        <x:v>欠勤で継続率5.1pt低下、遅刻で1.6pt低下</x:v>
      </x:c>
      <x:c r="L31" s="6" t="str">
        <x:v>必要な顧客への適切な利用を確認</x:v>
      </x:c>
      <x:c r="M31" s="6" t="str">
        <x:v>取得要確認</x:v>
      </x:c>
      <x:c r="N31" s="6" t="str">
        <x:v>Low対象で同一観測窓・募集量別に検証</x:v>
      </x:c>
      <x:c r="O31" s="6" t="str"/>
      <x:c r="P31" s="6" t="str">
        <x:v>S p.ヘルスコア構成要素 行17</x:v>
      </x:c>
      <x:c r="Q31" s="7" t="str"/>
      <x:c r="R31" s="7" t="str">
        <x:v>未着手</x:v>
      </x:c>
      <x:c r="S31" s="7" t="str">
        <x:v>未定</x:v>
      </x:c>
    </x:row>
    <x:row r="32" ht="75" customHeight="1">
      <x:c r="A32" s="18" t="n">
        <x:v>31</x:v>
      </x:c>
      <x:c r="B32" s="18" t="str">
        <x:v>N31</x:v>
      </x:c>
      <x:c r="C32" s="18" t="str">
        <x:v>新規追加</x:v>
      </x:c>
      <x:c r="D32" s="18" t="str">
        <x:v>P3</x:v>
      </x:c>
      <x:c r="E32" s="18" t="str">
        <x:v>初回求人でのリジェクト</x:v>
      </x:c>
      <x:c r="F32" s="18" t="str">
        <x:v>リジェクトの有無</x:v>
      </x:c>
      <x:c r="G32" s="18" t="str">
        <x:v>リジェクトの有無</x:v>
      </x:c>
      <x:c r="H32" s="18" t="str">
        <x:v>判定日を固定し、左記定義に該当する事実を日時付きで記録する。</x:v>
      </x:c>
      <x:c r="I32" s="18" t="str">
        <x:v>加点可否は検証後。採用・配点は未確定。</x:v>
      </x:c>
      <x:c r="J32" s="18" t="str">
        <x:v>既存整理シートの未検証候補</x:v>
      </x:c>
      <x:c r="K32" s="18" t="str">
        <x:v>リジェクト店舗除外で稼働率と継続率の関係が大幅縮小</x:v>
      </x:c>
      <x:c r="L32" s="18" t="str">
        <x:v>必要な顧客への適切な利用を確認</x:v>
      </x:c>
      <x:c r="M32" s="18" t="str">
        <x:v>取得要確認</x:v>
      </x:c>
      <x:c r="N32" s="18" t="str">
        <x:v>Low対象で同一観測窓・募集量別に検証</x:v>
      </x:c>
      <x:c r="O32" s="18" t="str"/>
      <x:c r="P32" s="18" t="str">
        <x:v>S p.ヘルスコア構成要素 行18</x:v>
      </x:c>
      <x:c r="Q32" s="7" t="str"/>
      <x:c r="R32" s="7" t="str">
        <x:v>未着手</x:v>
      </x:c>
      <x:c r="S32" s="7" t="str">
        <x:v>未定</x:v>
      </x:c>
    </x:row>
    <x:row r="33" ht="75" customHeight="1">
      <x:c r="A33" s="6" t="n">
        <x:v>32</x:v>
      </x:c>
      <x:c r="B33" s="6" t="str">
        <x:v>N32</x:v>
      </x:c>
      <x:c r="C33" s="6" t="str">
        <x:v>新規追加</x:v>
      </x:c>
      <x:c r="D33" s="6" t="str">
        <x:v>P3</x:v>
      </x:c>
      <x:c r="E33" s="6" t="str">
        <x:v>初回求人でのワーカーキャンセル</x:v>
      </x:c>
      <x:c r="F33" s="6" t="str">
        <x:v>ワーカーキャンセルの有無</x:v>
      </x:c>
      <x:c r="G33" s="6" t="str">
        <x:v>ワーカーキャンセルの有無</x:v>
      </x:c>
      <x:c r="H33" s="6" t="str">
        <x:v>判定日を固定し、左記定義に該当する事実を日時付きで記録する。</x:v>
      </x:c>
      <x:c r="I33" s="6" t="str">
        <x:v>加点可否は検証後。採用・配点は未確定。</x:v>
      </x:c>
      <x:c r="J33" s="6" t="str">
        <x:v>既存整理シートの未検証候補</x:v>
      </x:c>
      <x:c r="K33" s="6" t="str">
        <x:v>非継続店舗ほどキャンセル率高い。ワーカー視点では通常と同程度</x:v>
      </x:c>
      <x:c r="L33" s="6" t="str">
        <x:v>必要な顧客への適切な利用を確認</x:v>
      </x:c>
      <x:c r="M33" s="6" t="str">
        <x:v>取得要確認</x:v>
      </x:c>
      <x:c r="N33" s="6" t="str">
        <x:v>Low対象で同一観測窓・募集量別に検証</x:v>
      </x:c>
      <x:c r="O33" s="6" t="str"/>
      <x:c r="P33" s="6" t="str">
        <x:v>S p.ヘルスコア構成要素 行19</x:v>
      </x:c>
      <x:c r="Q33" s="7" t="str"/>
      <x:c r="R33" s="7" t="str">
        <x:v>未着手</x:v>
      </x:c>
      <x:c r="S33" s="7" t="str">
        <x:v>未定</x:v>
      </x:c>
    </x:row>
    <x:row r="34" ht="75" customHeight="1">
      <x:c r="A34" s="18" t="n">
        <x:v>33</x:v>
      </x:c>
      <x:c r="B34" s="18" t="str">
        <x:v>N33</x:v>
      </x:c>
      <x:c r="C34" s="18" t="str">
        <x:v>新規追加</x:v>
      </x:c>
      <x:c r="D34" s="18" t="str">
        <x:v>P3</x:v>
      </x:c>
      <x:c r="E34" s="18" t="str">
        <x:v>ワーカー懸念フラグ</x:v>
      </x:c>
      <x:c r="F34" s="18" t="str">
        <x:v>ワーカーへのbad評価があった</x:v>
      </x:c>
      <x:c r="G34" s="18" t="str">
        <x:v>ワーカーへのbad評価があった</x:v>
      </x:c>
      <x:c r="H34" s="18" t="str">
        <x:v>判定日を固定し、左記定義に該当する事実を日時付きで記録する。</x:v>
      </x:c>
      <x:c r="I34" s="18" t="str">
        <x:v>加点可否は検証後。採用・配点は未確定。</x:v>
      </x:c>
      <x:c r="J34" s="18" t="str">
        <x:v>既存整理シートの未検証候補</x:v>
      </x:c>
      <x:c r="K34" s="18" t="str">
        <x:v>bad評価は体験不全の直接シグナル</x:v>
      </x:c>
      <x:c r="L34" s="18" t="str">
        <x:v>必要な顧客への適切な利用を確認</x:v>
      </x:c>
      <x:c r="M34" s="18" t="str">
        <x:v>取得要確認</x:v>
      </x:c>
      <x:c r="N34" s="18" t="str">
        <x:v>Low対象で同一観測窓・募集量別に検証</x:v>
      </x:c>
      <x:c r="O34" s="18" t="str"/>
      <x:c r="P34" s="18" t="str">
        <x:v>S p.ヘルスコア構成要素 行20</x:v>
      </x:c>
      <x:c r="Q34" s="7" t="str"/>
      <x:c r="R34" s="7" t="str">
        <x:v>未着手</x:v>
      </x:c>
      <x:c r="S34" s="7" t="str">
        <x:v>未定</x:v>
      </x:c>
    </x:row>
    <x:row r="35" ht="75" customHeight="1">
      <x:c r="A35" s="6" t="n">
        <x:v>34</x:v>
      </x:c>
      <x:c r="B35" s="6" t="str">
        <x:v>N34</x:v>
      </x:c>
      <x:c r="C35" s="6" t="str">
        <x:v>新規追加</x:v>
      </x:c>
      <x:c r="D35" s="6" t="str">
        <x:v>P3</x:v>
      </x:c>
      <x:c r="E35" s="6" t="str">
        <x:v>ワーカーからのGood率</x:v>
      </x:c>
      <x:c r="F35" s="6" t="str">
        <x:v>ワーカーがクライアントをGood評価した割合</x:v>
      </x:c>
      <x:c r="G35" s="6" t="str">
        <x:v>ワーカーがクライアントをGood評価した割合</x:v>
      </x:c>
      <x:c r="H35" s="6" t="str">
        <x:v>判定日を固定し、左記定義に該当する事実を日時付きで記録する。</x:v>
      </x:c>
      <x:c r="I35" s="6" t="str">
        <x:v>加点可否は検証後。採用・配点は未確定。</x:v>
      </x:c>
      <x:c r="J35" s="6" t="str">
        <x:v>既存整理シートの未検証候補</x:v>
      </x:c>
      <x:c r="K35" s="6" t="str">
        <x:v>マッチングしやすさに直結</x:v>
      </x:c>
      <x:c r="L35" s="6" t="str">
        <x:v>必要な顧客への適切な利用を確認</x:v>
      </x:c>
      <x:c r="M35" s="6" t="str">
        <x:v>取得要確認</x:v>
      </x:c>
      <x:c r="N35" s="6" t="str">
        <x:v>Low対象で同一観測窓・募集量別に検証</x:v>
      </x:c>
      <x:c r="O35" s="6" t="str"/>
      <x:c r="P35" s="6" t="str">
        <x:v>S p.ヘルスコア構成要素 行22</x:v>
      </x:c>
      <x:c r="Q35" s="7" t="str"/>
      <x:c r="R35" s="7" t="str">
        <x:v>未着手</x:v>
      </x:c>
      <x:c r="S35" s="7" t="str">
        <x:v>未定</x:v>
      </x:c>
    </x:row>
    <x:row r="36" ht="75" customHeight="1">
      <x:c r="A36" s="18" t="n">
        <x:v>35</x:v>
      </x:c>
      <x:c r="B36" s="18" t="str">
        <x:v>N35</x:v>
      </x:c>
      <x:c r="C36" s="18" t="str">
        <x:v>新規追加</x:v>
      </x:c>
      <x:c r="D36" s="18" t="str">
        <x:v>P3</x:v>
      </x:c>
      <x:c r="E36" s="18" t="str">
        <x:v>ワーカーからのお気に入り登録数</x:v>
      </x:c>
      <x:c r="F36" s="18" t="str">
        <x:v>ワーカーが事業所をお気に入りした数</x:v>
      </x:c>
      <x:c r="G36" s="18" t="str">
        <x:v>ワーカーが事業所をお気に入りした数</x:v>
      </x:c>
      <x:c r="H36" s="18" t="str">
        <x:v>判定日を固定し、左記定義に該当する事実を日時付きで記録する。</x:v>
      </x:c>
      <x:c r="I36" s="18" t="str">
        <x:v>加点可否は検証後。採用・配点は未確定。</x:v>
      </x:c>
      <x:c r="J36" s="18" t="str">
        <x:v>既存整理シートの未検証候補</x:v>
      </x:c>
      <x:c r="K36" s="18" t="str">
        <x:v>事業所の魅力度の代理指標</x:v>
      </x:c>
      <x:c r="L36" s="18" t="str">
        <x:v>必要な顧客への適切な利用を確認</x:v>
      </x:c>
      <x:c r="M36" s="18" t="str">
        <x:v>取得要確認</x:v>
      </x:c>
      <x:c r="N36" s="18" t="str">
        <x:v>Low対象で同一観測窓・募集量別に検証</x:v>
      </x:c>
      <x:c r="O36" s="18" t="str"/>
      <x:c r="P36" s="18" t="str">
        <x:v>S p.ヘルスコア構成要素 行23</x:v>
      </x:c>
      <x:c r="Q36" s="7" t="str"/>
      <x:c r="R36" s="7" t="str">
        <x:v>未着手</x:v>
      </x:c>
      <x:c r="S36" s="7" t="str">
        <x:v>未定</x:v>
      </x:c>
    </x:row>
    <x:row r="37" ht="75" customHeight="1">
      <x:c r="A37" s="6" t="n">
        <x:v>36</x:v>
      </x:c>
      <x:c r="B37" s="6" t="str">
        <x:v>N36</x:v>
      </x:c>
      <x:c r="C37" s="6" t="str">
        <x:v>新規追加</x:v>
      </x:c>
      <x:c r="D37" s="6" t="str">
        <x:v>P3</x:v>
      </x:c>
      <x:c r="E37" s="6" t="str">
        <x:v>ペナルティ有無</x:v>
      </x:c>
      <x:c r="F37" s="6" t="str">
        <x:v>事業所へのペナルティ付与の有無</x:v>
      </x:c>
      <x:c r="G37" s="6" t="str">
        <x:v>事業所へのペナルティ付与の有無</x:v>
      </x:c>
      <x:c r="H37" s="6" t="str">
        <x:v>判定日を固定し、左記定義に該当する事実を日時付きで記録する。</x:v>
      </x:c>
      <x:c r="I37" s="6" t="str">
        <x:v>加点可否は検証後。採用・配点は未確定。</x:v>
      </x:c>
      <x:c r="J37" s="6" t="str">
        <x:v>既存整理シートの未検証候補</x:v>
      </x:c>
      <x:c r="K37" s="6" t="str">
        <x:v>重大体験毀損の検知</x:v>
      </x:c>
      <x:c r="L37" s="6" t="str">
        <x:v>必要な顧客への適切な利用を確認</x:v>
      </x:c>
      <x:c r="M37" s="6" t="str">
        <x:v>取得要確認</x:v>
      </x:c>
      <x:c r="N37" s="6" t="str">
        <x:v>Low対象で同一観測窓・募集量別に検証</x:v>
      </x:c>
      <x:c r="O37" s="6" t="str"/>
      <x:c r="P37" s="6" t="str">
        <x:v>S p.ヘルスコア構成要素 行24</x:v>
      </x:c>
      <x:c r="Q37" s="7" t="str"/>
      <x:c r="R37" s="7" t="str">
        <x:v>未着手</x:v>
      </x:c>
      <x:c r="S37" s="7" t="str">
        <x:v>未定</x:v>
      </x:c>
    </x:row>
    <x:row r="38" ht="75" customHeight="1">
      <x:c r="A38" s="18" t="n">
        <x:v>37</x:v>
      </x:c>
      <x:c r="B38" s="18" t="str">
        <x:v>N37</x:v>
      </x:c>
      <x:c r="C38" s="18" t="str">
        <x:v>新規追加</x:v>
      </x:c>
      <x:c r="D38" s="18" t="str">
        <x:v>P3</x:v>
      </x:c>
      <x:c r="E38" s="18" t="str">
        <x:v>グループ限定公開</x:v>
      </x:c>
      <x:c r="F38" s="18" t="str">
        <x:v>グループ限定公開の有無</x:v>
      </x:c>
      <x:c r="G38" s="18" t="str">
        <x:v>グループ限定公開の有無</x:v>
      </x:c>
      <x:c r="H38" s="18" t="str">
        <x:v>判定日を固定し、左記定義に該当する事実を日時付きで記録する。</x:v>
      </x:c>
      <x:c r="I38" s="18" t="str">
        <x:v>加点可否は検証後。採用・配点は未確定。</x:v>
      </x:c>
      <x:c r="J38" s="18" t="str">
        <x:v>既存整理シートの未検証候補</x:v>
      </x:c>
      <x:c r="K38" s="18" t="str">
        <x:v>ENT領域で翌月継続率76% vs 52%。10回以上募集の事業所で利用率約50%</x:v>
      </x:c>
      <x:c r="L38" s="18" t="str">
        <x:v>必要な顧客への適切な利用を確認</x:v>
      </x:c>
      <x:c r="M38" s="18" t="str">
        <x:v>取得要確認</x:v>
      </x:c>
      <x:c r="N38" s="18" t="str">
        <x:v>Low対象で同一観測窓・募集量別に検証</x:v>
      </x:c>
      <x:c r="O38" s="18" t="str"/>
      <x:c r="P38" s="18" t="str">
        <x:v>S p.ヘルスコア構成要素 行26</x:v>
      </x:c>
      <x:c r="Q38" s="7" t="str"/>
      <x:c r="R38" s="7" t="str">
        <x:v>未着手</x:v>
      </x:c>
      <x:c r="S38" s="7" t="str">
        <x:v>未定</x:v>
      </x:c>
    </x:row>
    <x:row r="39" ht="75" customHeight="1">
      <x:c r="A39" s="6" t="n">
        <x:v>38</x:v>
      </x:c>
      <x:c r="B39" s="6" t="str">
        <x:v>N38</x:v>
      </x:c>
      <x:c r="C39" s="6" t="str">
        <x:v>新規追加</x:v>
      </x:c>
      <x:c r="D39" s="6" t="str">
        <x:v>P3</x:v>
      </x:c>
      <x:c r="E39" s="6" t="str">
        <x:v>初回ワーカー限定公開</x:v>
      </x:c>
      <x:c r="F39" s="6" t="str">
        <x:v>初回ワーカー限定公開利用率</x:v>
      </x:c>
      <x:c r="G39" s="6" t="str">
        <x:v>初回ワーカー限定公開利用率</x:v>
      </x:c>
      <x:c r="H39" s="6" t="str">
        <x:v>判定日を固定し、左記定義に該当する事実を日時付きで記録する。</x:v>
      </x:c>
      <x:c r="I39" s="6" t="str">
        <x:v>加点可否は検証後。採用・配点は未確定。</x:v>
      </x:c>
      <x:c r="J39" s="6" t="str">
        <x:v>既存整理シートの未検証候補</x:v>
      </x:c>
      <x:c r="K39" s="6" t="str">
        <x:v>利用初月に限定公開した店舗は翌月継続率高い。5回以内の求人で初利用が多い</x:v>
      </x:c>
      <x:c r="L39" s="6" t="str">
        <x:v>必要な顧客への適切な利用を確認</x:v>
      </x:c>
      <x:c r="M39" s="6" t="str">
        <x:v>取得要確認</x:v>
      </x:c>
      <x:c r="N39" s="6" t="str">
        <x:v>Low対象で同一観測窓・募集量別に検証</x:v>
      </x:c>
      <x:c r="O39" s="6" t="str"/>
      <x:c r="P39" s="6" t="str">
        <x:v>S p.ヘルスコア構成要素 行27</x:v>
      </x:c>
      <x:c r="Q39" s="7" t="str"/>
      <x:c r="R39" s="7" t="str">
        <x:v>未着手</x:v>
      </x:c>
      <x:c r="S39" s="7" t="str">
        <x:v>未定</x:v>
      </x:c>
    </x:row>
    <x:row r="40" ht="75" customHeight="1">
      <x:c r="A40" s="18" t="n">
        <x:v>39</x:v>
      </x:c>
      <x:c r="B40" s="18" t="str">
        <x:v>N39</x:v>
      </x:c>
      <x:c r="C40" s="18" t="str">
        <x:v>新規追加</x:v>
      </x:c>
      <x:c r="D40" s="18" t="str">
        <x:v>P3</x:v>
      </x:c>
      <x:c r="E40" s="18" t="str">
        <x:v>URL限定公開</x:v>
      </x:c>
      <x:c r="F40" s="18" t="str">
        <x:v>URL限定公開利用の有無</x:v>
      </x:c>
      <x:c r="G40" s="18" t="str">
        <x:v>URL限定公開利用の有無</x:v>
      </x:c>
      <x:c r="H40" s="18" t="str">
        <x:v>判定日を固定し、左記定義に該当する事実を日時付きで記録する。</x:v>
      </x:c>
      <x:c r="I40" s="18" t="str">
        <x:v>加点可否は検証後。採用・配点は未確定。</x:v>
      </x:c>
      <x:c r="J40" s="18" t="str">
        <x:v>既存整理シートの未検証候補</x:v>
      </x:c>
      <x:c r="K40" s="18" t="str">
        <x:v>na</x:v>
      </x:c>
      <x:c r="L40" s="18" t="str">
        <x:v>必要な顧客への適切な利用を確認</x:v>
      </x:c>
      <x:c r="M40" s="18" t="str">
        <x:v>取得要確認</x:v>
      </x:c>
      <x:c r="N40" s="18" t="str">
        <x:v>Low対象で同一観測窓・募集量別に検証</x:v>
      </x:c>
      <x:c r="O40" s="18" t="str"/>
      <x:c r="P40" s="18" t="str">
        <x:v>S p.ヘルスコア構成要素 行28</x:v>
      </x:c>
      <x:c r="Q40" s="7" t="str"/>
      <x:c r="R40" s="7" t="str">
        <x:v>未着手</x:v>
      </x:c>
      <x:c r="S40" s="7" t="str">
        <x:v>未定</x:v>
      </x:c>
    </x:row>
    <x:row r="41" ht="75" customHeight="1">
      <x:c r="A41" s="6" t="n">
        <x:v>40</x:v>
      </x:c>
      <x:c r="B41" s="6" t="str">
        <x:v>N40</x:v>
      </x:c>
      <x:c r="C41" s="6" t="str">
        <x:v>新規追加</x:v>
      </x:c>
      <x:c r="D41" s="6" t="str">
        <x:v>適用確認</x:v>
      </x:c>
      <x:c r="E41" s="6" t="str">
        <x:v>リピーターパス利用</x:v>
      </x:c>
      <x:c r="F41" s="6" t="str">
        <x:v>リピーターパス利用の有無</x:v>
      </x:c>
      <x:c r="G41" s="6" t="str">
        <x:v>リピーターパス利用の有無</x:v>
      </x:c>
      <x:c r="H41" s="6" t="str">
        <x:v>判定日を固定し、左記定義に該当する事実を日時付きで記録する。</x:v>
      </x:c>
      <x:c r="I41" s="6" t="str">
        <x:v>Low適用確認まで採点対象外。採用・配点は未確定。</x:v>
      </x:c>
      <x:c r="J41" s="6" t="str">
        <x:v>既存整理シートの未検証候補</x:v>
      </x:c>
      <x:c r="K41" s="6" t="str">
        <x:v>na</x:v>
      </x:c>
      <x:c r="L41" s="6" t="str">
        <x:v>必要な顧客への適切な利用を確認</x:v>
      </x:c>
      <x:c r="M41" s="6" t="str">
        <x:v>取得要確認</x:v>
      </x:c>
      <x:c r="N41" s="6" t="str">
        <x:v>Low対象で同一観測窓・募集量別に検証</x:v>
      </x:c>
      <x:c r="O41" s="6" t="str"/>
      <x:c r="P41" s="6" t="str">
        <x:v>S p.ヘルスコア構成要素 行29</x:v>
      </x:c>
      <x:c r="Q41" s="7" t="str"/>
      <x:c r="R41" s="7" t="str">
        <x:v>未着手</x:v>
      </x:c>
      <x:c r="S41" s="7" t="str">
        <x:v>未定</x:v>
      </x:c>
    </x:row>
    <x:row r="42" ht="75" customHeight="1">
      <x:c r="A42" s="18" t="n">
        <x:v>41</x:v>
      </x:c>
      <x:c r="B42" s="18" t="str">
        <x:v>N41</x:v>
      </x:c>
      <x:c r="C42" s="18" t="str">
        <x:v>新規追加</x:v>
      </x:c>
      <x:c r="D42" s="18" t="str">
        <x:v>P3</x:v>
      </x:c>
      <x:c r="E42" s="18" t="str">
        <x:v>バッジ限定募集</x:v>
      </x:c>
      <x:c r="F42" s="18" t="str">
        <x:v>バッジ限定募集の有無</x:v>
      </x:c>
      <x:c r="G42" s="18" t="str">
        <x:v>バッジ限定募集の有無</x:v>
      </x:c>
      <x:c r="H42" s="18" t="str">
        <x:v>判定日を固定し、左記定義に該当する事実を日時付きで記録する。</x:v>
      </x:c>
      <x:c r="I42" s="18" t="str">
        <x:v>加点可否は検証後。採用・配点は未確定。</x:v>
      </x:c>
      <x:c r="J42" s="18" t="str">
        <x:v>既存整理シートの未検証候補</x:v>
      </x:c>
      <x:c r="K42" s="18" t="str">
        <x:v>フード領域でバッジ持ちワーカー稼働時に継続率向上</x:v>
      </x:c>
      <x:c r="L42" s="18" t="str">
        <x:v>必要な顧客への適切な利用を確認</x:v>
      </x:c>
      <x:c r="M42" s="18" t="str">
        <x:v>取得要確認</x:v>
      </x:c>
      <x:c r="N42" s="18" t="str">
        <x:v>Low対象で同一観測窓・募集量別に検証</x:v>
      </x:c>
      <x:c r="O42" s="18" t="str"/>
      <x:c r="P42" s="18" t="str">
        <x:v>S p.ヘルスコア構成要素 行30</x:v>
      </x:c>
      <x:c r="Q42" s="7" t="str"/>
      <x:c r="R42" s="7" t="str">
        <x:v>未着手</x:v>
      </x:c>
      <x:c r="S42" s="7" t="str">
        <x:v>未定</x:v>
      </x:c>
    </x:row>
    <x:row r="43" ht="75" customHeight="1">
      <x:c r="A43" s="6" t="n">
        <x:v>42</x:v>
      </x:c>
      <x:c r="B43" s="6" t="str">
        <x:v>N42</x:v>
      </x:c>
      <x:c r="C43" s="6" t="str">
        <x:v>新規追加</x:v>
      </x:c>
      <x:c r="D43" s="6" t="str">
        <x:v>P3</x:v>
      </x:c>
      <x:c r="E43" s="6" t="str">
        <x:v>レビューGood率100%</x:v>
      </x:c>
      <x:c r="F43" s="6" t="str">
        <x:v>Good率100%であるか</x:v>
      </x:c>
      <x:c r="G43" s="6" t="str">
        <x:v>Good率100%であるか</x:v>
      </x:c>
      <x:c r="H43" s="6" t="str">
        <x:v>判定日を固定し、左記定義に該当する事実を日時付きで記録する。</x:v>
      </x:c>
      <x:c r="I43" s="6" t="str">
        <x:v>加点可否は検証後。採用・配点は未確定。</x:v>
      </x:c>
      <x:c r="J43" s="6" t="str">
        <x:v>既存整理シートの未検証候補</x:v>
      </x:c>
      <x:c r="K43" s="6" t="str">
        <x:v>未評価ワーカーだけの時に継続率低下が大きい（Good率100%未満より影響大）</x:v>
      </x:c>
      <x:c r="L43" s="6" t="str">
        <x:v>必要な顧客への適切な利用を確認</x:v>
      </x:c>
      <x:c r="M43" s="6" t="str">
        <x:v>取得要確認</x:v>
      </x:c>
      <x:c r="N43" s="6" t="str">
        <x:v>Low対象で同一観測窓・募集量別に検証</x:v>
      </x:c>
      <x:c r="O43" s="6" t="str"/>
      <x:c r="P43" s="6" t="str">
        <x:v>S p.ヘルスコア構成要素 行33</x:v>
      </x:c>
      <x:c r="Q43" s="7" t="str"/>
      <x:c r="R43" s="7" t="str">
        <x:v>未着手</x:v>
      </x:c>
      <x:c r="S43" s="7" t="str">
        <x:v>未定</x:v>
      </x:c>
    </x:row>
    <x:row r="44" ht="75" customHeight="1">
      <x:c r="A44" s="18" t="n">
        <x:v>43</x:v>
      </x:c>
      <x:c r="B44" s="18" t="str">
        <x:v>N43</x:v>
      </x:c>
      <x:c r="C44" s="18" t="str">
        <x:v>新規追加</x:v>
      </x:c>
      <x:c r="D44" s="18" t="str">
        <x:v>P3</x:v>
      </x:c>
      <x:c r="E44" s="18" t="str">
        <x:v>ブロック利用</x:v>
      </x:c>
      <x:c r="F44" s="18" t="str">
        <x:v>ブロック利用有無</x:v>
      </x:c>
      <x:c r="G44" s="18" t="str">
        <x:v>ブロック利用有無</x:v>
      </x:c>
      <x:c r="H44" s="18" t="str">
        <x:v>判定日を固定し、左記定義に該当する事実を日時付きで記録する。</x:v>
      </x:c>
      <x:c r="I44" s="18" t="str">
        <x:v>加点可否は検証後。採用・配点は未確定。</x:v>
      </x:c>
      <x:c r="J44" s="18" t="str">
        <x:v>既存整理シートの未検証候補</x:v>
      </x:c>
      <x:c r="K44" s="18" t="str">
        <x:v>ブロック率20%以上ワーカー稼働で初回継続率2.0〜2.6pt低下</x:v>
      </x:c>
      <x:c r="L44" s="18" t="str">
        <x:v>必要な顧客への適切な利用を確認</x:v>
      </x:c>
      <x:c r="M44" s="18" t="str">
        <x:v>取得要確認</x:v>
      </x:c>
      <x:c r="N44" s="18" t="str">
        <x:v>Low対象で同一観測窓・募集量別に検証</x:v>
      </x:c>
      <x:c r="O44" s="18" t="str"/>
      <x:c r="P44" s="18" t="str">
        <x:v>S p.ヘルスコア構成要素 行34</x:v>
      </x:c>
      <x:c r="Q44" s="7" t="str"/>
      <x:c r="R44" s="7" t="str">
        <x:v>未着手</x:v>
      </x:c>
      <x:c r="S44" s="7" t="str">
        <x:v>未定</x:v>
      </x:c>
    </x:row>
    <x:row r="45" ht="75" customHeight="1">
      <x:c r="A45" s="6" t="n">
        <x:v>44</x:v>
      </x:c>
      <x:c r="B45" s="6" t="str">
        <x:v>N44</x:v>
      </x:c>
      <x:c r="C45" s="6" t="str">
        <x:v>新規追加</x:v>
      </x:c>
      <x:c r="D45" s="6" t="str">
        <x:v>P3</x:v>
      </x:c>
      <x:c r="E45" s="6" t="str">
        <x:v>自動メッセージ</x:v>
      </x:c>
      <x:c r="F45" s="6" t="str">
        <x:v>自動メッセージの有無</x:v>
      </x:c>
      <x:c r="G45" s="6" t="str">
        <x:v>自動メッセージの有無</x:v>
      </x:c>
      <x:c r="H45" s="6" t="str">
        <x:v>判定日を固定し、左記定義に該当する事実を日時付きで記録する。</x:v>
      </x:c>
      <x:c r="I45" s="6" t="str">
        <x:v>加点可否は検証後。採用・配点は未確定。</x:v>
      </x:c>
      <x:c r="J45" s="6" t="str">
        <x:v>既存整理シートの未検証候補</x:v>
      </x:c>
      <x:c r="K45" s="6" t="str">
        <x:v>na</x:v>
      </x:c>
      <x:c r="L45" s="6" t="str">
        <x:v>必要な顧客への適切な利用を確認</x:v>
      </x:c>
      <x:c r="M45" s="6" t="str">
        <x:v>取得要確認</x:v>
      </x:c>
      <x:c r="N45" s="6" t="str">
        <x:v>Low対象で同一観測窓・募集量別に検証</x:v>
      </x:c>
      <x:c r="O45" s="6" t="str"/>
      <x:c r="P45" s="6" t="str">
        <x:v>S p.ヘルスコア構成要素 行36</x:v>
      </x:c>
      <x:c r="Q45" s="7" t="str"/>
      <x:c r="R45" s="7" t="str">
        <x:v>未着手</x:v>
      </x:c>
      <x:c r="S45" s="7" t="str">
        <x:v>未定</x:v>
      </x:c>
    </x:row>
    <x:row r="46" ht="75" customHeight="1">
      <x:c r="A46" s="18" t="n">
        <x:v>45</x:v>
      </x:c>
      <x:c r="B46" s="18" t="str">
        <x:v>N45</x:v>
      </x:c>
      <x:c r="C46" s="18" t="str">
        <x:v>新規追加</x:v>
      </x:c>
      <x:c r="D46" s="18" t="str">
        <x:v>適用確認</x:v>
      </x:c>
      <x:c r="E46" s="18" t="str">
        <x:v>長期採用求人利用</x:v>
      </x:c>
      <x:c r="F46" s="18" t="str">
        <x:v>長期採用求人利用の有無</x:v>
      </x:c>
      <x:c r="G46" s="18" t="str">
        <x:v>長期採用求人利用の有無</x:v>
      </x:c>
      <x:c r="H46" s="18" t="str">
        <x:v>判定日を固定し、左記定義に該当する事実を日時付きで記録する。</x:v>
      </x:c>
      <x:c r="I46" s="18" t="str">
        <x:v>Low適用確認まで採点対象外。採用・配点は未確定。</x:v>
      </x:c>
      <x:c r="J46" s="18" t="str">
        <x:v>既存整理シートの未検証候補</x:v>
      </x:c>
      <x:c r="K46" s="18" t="str">
        <x:v>na</x:v>
      </x:c>
      <x:c r="L46" s="18" t="str">
        <x:v>必要な顧客への適切な利用を確認</x:v>
      </x:c>
      <x:c r="M46" s="18" t="str">
        <x:v>取得要確認</x:v>
      </x:c>
      <x:c r="N46" s="18" t="str">
        <x:v>Low対象で同一観測窓・募集量別に検証</x:v>
      </x:c>
      <x:c r="O46" s="18" t="str"/>
      <x:c r="P46" s="18" t="str">
        <x:v>S p.ヘルスコア構成要素 行37</x:v>
      </x:c>
      <x:c r="Q46" s="7" t="str"/>
      <x:c r="R46" s="7" t="str">
        <x:v>未着手</x:v>
      </x:c>
      <x:c r="S46" s="7" t="str">
        <x:v>未定</x:v>
      </x:c>
    </x:row>
    <x:row r="47" ht="75" customHeight="1">
      <x:c r="A47" s="6" t="n">
        <x:v>46</x:v>
      </x:c>
      <x:c r="B47" s="6" t="str">
        <x:v>N46</x:v>
      </x:c>
      <x:c r="C47" s="6" t="str">
        <x:v>新規追加</x:v>
      </x:c>
      <x:c r="D47" s="6" t="str">
        <x:v>P3</x:v>
      </x:c>
      <x:c r="E47" s="6" t="str">
        <x:v>複数掲載機能利用</x:v>
      </x:c>
      <x:c r="F47" s="6" t="str">
        <x:v>複数掲載機能利用の有無</x:v>
      </x:c>
      <x:c r="G47" s="6" t="str">
        <x:v>複数掲載機能利用の有無</x:v>
      </x:c>
      <x:c r="H47" s="6" t="str">
        <x:v>判定日を固定し、左記定義に該当する事実を日時付きで記録する。</x:v>
      </x:c>
      <x:c r="I47" s="6" t="str">
        <x:v>加点可否は検証後。採用・配点は未確定。</x:v>
      </x:c>
      <x:c r="J47" s="6" t="str">
        <x:v>既存整理シートの未検証候補</x:v>
      </x:c>
      <x:c r="K47" s="6" t="str">
        <x:v>初回複数日掲載でリピーター率向上。ただし非継続店舗ほど複数募集の傾向もあり</x:v>
      </x:c>
      <x:c r="L47" s="6" t="str">
        <x:v>必要な顧客への適切な利用を確認</x:v>
      </x:c>
      <x:c r="M47" s="6" t="str">
        <x:v>取得要確認</x:v>
      </x:c>
      <x:c r="N47" s="6" t="str">
        <x:v>Low対象で同一観測窓・募集量別に検証</x:v>
      </x:c>
      <x:c r="O47" s="6" t="str"/>
      <x:c r="P47" s="6" t="str">
        <x:v>S p.ヘルスコア構成要素 行38</x:v>
      </x:c>
      <x:c r="Q47" s="7" t="str"/>
      <x:c r="R47" s="7" t="str">
        <x:v>未着手</x:v>
      </x:c>
      <x:c r="S47" s="7" t="str">
        <x:v>未定</x:v>
      </x:c>
    </x:row>
    <x:row r="48" ht="75" customHeight="1">
      <x:c r="A48" s="18" t="n">
        <x:v>47</x:v>
      </x:c>
      <x:c r="B48" s="18" t="str">
        <x:v>N47</x:v>
      </x:c>
      <x:c r="C48" s="18" t="str">
        <x:v>新規追加</x:v>
      </x:c>
      <x:c r="D48" s="18" t="str">
        <x:v>P3</x:v>
      </x:c>
      <x:c r="E48" s="18" t="str">
        <x:v>企業内共有利用</x:v>
      </x:c>
      <x:c r="F48" s="18" t="str">
        <x:v>企業内共有機能利用の有無</x:v>
      </x:c>
      <x:c r="G48" s="18" t="str">
        <x:v>企業内共有機能利用の有無</x:v>
      </x:c>
      <x:c r="H48" s="18" t="str">
        <x:v>判定日を固定し、左記定義に該当する事実を日時付きで記録する。</x:v>
      </x:c>
      <x:c r="I48" s="18" t="str">
        <x:v>加点可否は検証後。採用・配点は未確定。</x:v>
      </x:c>
      <x:c r="J48" s="18" t="str">
        <x:v>既存整理シートの未検証候補</x:v>
      </x:c>
      <x:c r="K48" s="18" t="str">
        <x:v>na</x:v>
      </x:c>
      <x:c r="L48" s="18" t="str">
        <x:v>必要な顧客への適切な利用を確認</x:v>
      </x:c>
      <x:c r="M48" s="18" t="str">
        <x:v>取得要確認</x:v>
      </x:c>
      <x:c r="N48" s="18" t="str">
        <x:v>Low対象で同一観測窓・募集量別に検証</x:v>
      </x:c>
      <x:c r="O48" s="18" t="str"/>
      <x:c r="P48" s="18" t="str">
        <x:v>S p.ヘルスコア構成要素 行39</x:v>
      </x:c>
      <x:c r="Q48" s="7" t="str"/>
      <x:c r="R48" s="7" t="str">
        <x:v>未着手</x:v>
      </x:c>
      <x:c r="S48" s="7" t="str">
        <x:v>未定</x:v>
      </x:c>
    </x:row>
    <x:row r="49" ht="75" customHeight="1">
      <x:c r="A49" s="6" t="n">
        <x:v>48</x:v>
      </x:c>
      <x:c r="B49" s="6" t="str">
        <x:v>N48</x:v>
      </x:c>
      <x:c r="C49" s="6" t="str">
        <x:v>新規追加</x:v>
      </x:c>
      <x:c r="D49" s="6" t="str">
        <x:v>P3</x:v>
      </x:c>
      <x:c r="E49" s="6" t="str">
        <x:v>スマグル利用</x:v>
      </x:c>
      <x:c r="F49" s="6" t="str">
        <x:v>スマグル機能利用の有無</x:v>
      </x:c>
      <x:c r="G49" s="6" t="str">
        <x:v>スマグル機能利用の有無</x:v>
      </x:c>
      <x:c r="H49" s="6" t="str">
        <x:v>判定日を固定し、左記定義に該当する事実を日時付きで記録する。</x:v>
      </x:c>
      <x:c r="I49" s="6" t="str">
        <x:v>加点可否は検証後。採用・配点は未確定。</x:v>
      </x:c>
      <x:c r="J49" s="6" t="str">
        <x:v>既存整理シートの未検証候補</x:v>
      </x:c>
      <x:c r="K49" s="6" t="str">
        <x:v>na</x:v>
      </x:c>
      <x:c r="L49" s="6" t="str">
        <x:v>必要な顧客への適切な利用を確認</x:v>
      </x:c>
      <x:c r="M49" s="6" t="str">
        <x:v>取得要確認</x:v>
      </x:c>
      <x:c r="N49" s="6" t="str">
        <x:v>Low対象で同一観測窓・募集量別に検証</x:v>
      </x:c>
      <x:c r="O49" s="6" t="str"/>
      <x:c r="P49" s="6" t="str">
        <x:v>S p.ヘルスコア構成要素 行40</x:v>
      </x:c>
      <x:c r="Q49" s="7" t="str"/>
      <x:c r="R49" s="7" t="str">
        <x:v>未着手</x:v>
      </x:c>
      <x:c r="S49" s="7" t="str">
        <x:v>未定</x:v>
      </x:c>
    </x:row>
    <x:row r="50" ht="75" customHeight="1">
      <x:c r="A50" s="18" t="n">
        <x:v>49</x:v>
      </x:c>
      <x:c r="B50" s="18" t="str">
        <x:v>N49</x:v>
      </x:c>
      <x:c r="C50" s="18" t="str">
        <x:v>新規追加</x:v>
      </x:c>
      <x:c r="D50" s="18" t="str">
        <x:v>P3</x:v>
      </x:c>
      <x:c r="E50" s="18" t="str">
        <x:v>自動切り替え利用</x:v>
      </x:c>
      <x:c r="F50" s="18" t="str">
        <x:v>自動切り替え機能利用の有無</x:v>
      </x:c>
      <x:c r="G50" s="18" t="str">
        <x:v>自動切り替え機能利用の有無</x:v>
      </x:c>
      <x:c r="H50" s="18" t="str">
        <x:v>判定日を固定し、左記定義に該当する事実を日時付きで記録する。</x:v>
      </x:c>
      <x:c r="I50" s="18" t="str">
        <x:v>加点可否は検証後。採用・配点は未確定。</x:v>
      </x:c>
      <x:c r="J50" s="18" t="str">
        <x:v>既存整理シートの未検証候補</x:v>
      </x:c>
      <x:c r="K50" s="18" t="str">
        <x:v>na</x:v>
      </x:c>
      <x:c r="L50" s="18" t="str">
        <x:v>必要な顧客への適切な利用を確認</x:v>
      </x:c>
      <x:c r="M50" s="18" t="str">
        <x:v>取得要確認</x:v>
      </x:c>
      <x:c r="N50" s="18" t="str">
        <x:v>Low対象で同一観測窓・募集量別に検証</x:v>
      </x:c>
      <x:c r="O50" s="18" t="str"/>
      <x:c r="P50" s="18" t="str">
        <x:v>S p.ヘルスコア構成要素 行41</x:v>
      </x:c>
      <x:c r="Q50" s="7" t="str"/>
      <x:c r="R50" s="7" t="str">
        <x:v>未着手</x:v>
      </x:c>
      <x:c r="S50" s="7" t="str">
        <x:v>未定</x:v>
      </x:c>
    </x:row>
    <x:row r="51" ht="75" customHeight="1">
      <x:c r="A51" s="6" t="n">
        <x:v>50</x:v>
      </x:c>
      <x:c r="B51" s="6" t="str">
        <x:v>N50</x:v>
      </x:c>
      <x:c r="C51" s="6" t="str">
        <x:v>新規追加</x:v>
      </x:c>
      <x:c r="D51" s="6" t="str">
        <x:v>P3</x:v>
      </x:c>
      <x:c r="E51" s="6" t="str">
        <x:v>資格募集利用</x:v>
      </x:c>
      <x:c r="F51" s="6" t="str">
        <x:v>資格募集機能利用の有無</x:v>
      </x:c>
      <x:c r="G51" s="6" t="str">
        <x:v>資格募集機能利用の有無</x:v>
      </x:c>
      <x:c r="H51" s="6" t="str">
        <x:v>判定日を固定し、左記定義に該当する事実を日時付きで記録する。</x:v>
      </x:c>
      <x:c r="I51" s="6" t="str">
        <x:v>加点可否は検証後。採用・配点は未確定。</x:v>
      </x:c>
      <x:c r="J51" s="6" t="str">
        <x:v>既存整理シートの未検証候補</x:v>
      </x:c>
      <x:c r="K51" s="6" t="str">
        <x:v>na</x:v>
      </x:c>
      <x:c r="L51" s="6" t="str">
        <x:v>必要な顧客への適切な利用を確認</x:v>
      </x:c>
      <x:c r="M51" s="6" t="str">
        <x:v>取得要確認</x:v>
      </x:c>
      <x:c r="N51" s="6" t="str">
        <x:v>Low対象で同一観測窓・募集量別に検証</x:v>
      </x:c>
      <x:c r="O51" s="6" t="str"/>
      <x:c r="P51" s="6" t="str">
        <x:v>S p.ヘルスコア構成要素 行42</x:v>
      </x:c>
      <x:c r="Q51" s="7" t="str"/>
      <x:c r="R51" s="7" t="str">
        <x:v>未着手</x:v>
      </x:c>
      <x:c r="S51" s="7" t="str">
        <x:v>未定</x:v>
      </x:c>
    </x:row>
    <x:row r="52" ht="75" customHeight="1">
      <x:c r="A52" s="18" t="n">
        <x:v>51</x:v>
      </x:c>
      <x:c r="B52" s="18" t="str">
        <x:v>N51</x:v>
      </x:c>
      <x:c r="C52" s="18" t="str">
        <x:v>新規追加</x:v>
      </x:c>
      <x:c r="D52" s="18" t="str">
        <x:v>P3</x:v>
      </x:c>
      <x:c r="E52" s="18" t="str">
        <x:v>検便募集利用</x:v>
      </x:c>
      <x:c r="F52" s="18" t="str">
        <x:v>検便募集機能利用の有無</x:v>
      </x:c>
      <x:c r="G52" s="18" t="str">
        <x:v>検便募集機能利用の有無</x:v>
      </x:c>
      <x:c r="H52" s="18" t="str">
        <x:v>判定日を固定し、左記定義に該当する事実を日時付きで記録する。</x:v>
      </x:c>
      <x:c r="I52" s="18" t="str">
        <x:v>加点可否は検証後。採用・配点は未確定。</x:v>
      </x:c>
      <x:c r="J52" s="18" t="str">
        <x:v>既存整理シートの未検証候補</x:v>
      </x:c>
      <x:c r="K52" s="18" t="str">
        <x:v>na</x:v>
      </x:c>
      <x:c r="L52" s="18" t="str">
        <x:v>必要な顧客への適切な利用を確認</x:v>
      </x:c>
      <x:c r="M52" s="18" t="str">
        <x:v>取得要確認</x:v>
      </x:c>
      <x:c r="N52" s="18" t="str">
        <x:v>Low対象で同一観測窓・募集量別に検証</x:v>
      </x:c>
      <x:c r="O52" s="18" t="str"/>
      <x:c r="P52" s="18" t="str">
        <x:v>S p.ヘルスコア構成要素 行43</x:v>
      </x:c>
      <x:c r="Q52" s="7" t="str"/>
      <x:c r="R52" s="7" t="str">
        <x:v>未着手</x:v>
      </x:c>
      <x:c r="S52" s="7" t="str">
        <x:v>未定</x:v>
      </x:c>
    </x:row>
    <x:row r="53" ht="75" customHeight="1">
      <x:c r="A53" s="6" t="n">
        <x:v>52</x:v>
      </x:c>
      <x:c r="B53" s="6" t="str">
        <x:v>N52</x:v>
      </x:c>
      <x:c r="C53" s="6" t="str">
        <x:v>新規追加</x:v>
      </x:c>
      <x:c r="D53" s="6" t="str">
        <x:v>P3</x:v>
      </x:c>
      <x:c r="E53" s="6" t="str">
        <x:v>喫煙エリア募集利用</x:v>
      </x:c>
      <x:c r="F53" s="6" t="str">
        <x:v>喫煙エリア募集機能利用の有無</x:v>
      </x:c>
      <x:c r="G53" s="6" t="str">
        <x:v>喫煙エリア募集機能利用の有無</x:v>
      </x:c>
      <x:c r="H53" s="6" t="str">
        <x:v>判定日を固定し、左記定義に該当する事実を日時付きで記録する。</x:v>
      </x:c>
      <x:c r="I53" s="6" t="str">
        <x:v>加点可否は検証後。採用・配点は未確定。</x:v>
      </x:c>
      <x:c r="J53" s="6" t="str">
        <x:v>既存整理シートの未検証候補</x:v>
      </x:c>
      <x:c r="K53" s="6" t="str">
        <x:v>na</x:v>
      </x:c>
      <x:c r="L53" s="6" t="str">
        <x:v>必要な顧客への適切な利用を確認</x:v>
      </x:c>
      <x:c r="M53" s="6" t="str">
        <x:v>取得要確認</x:v>
      </x:c>
      <x:c r="N53" s="6" t="str">
        <x:v>Low対象で同一観測窓・募集量別に検証</x:v>
      </x:c>
      <x:c r="O53" s="6" t="str"/>
      <x:c r="P53" s="6" t="str">
        <x:v>S p.ヘルスコア構成要素 行44</x:v>
      </x:c>
      <x:c r="Q53" s="7" t="str"/>
      <x:c r="R53" s="7" t="str">
        <x:v>未着手</x:v>
      </x:c>
      <x:c r="S53" s="7" t="str">
        <x:v>未定</x:v>
      </x:c>
    </x:row>
    <x:row r="54" ht="75" customHeight="1">
      <x:c r="A54" s="18" t="n">
        <x:v>53</x:v>
      </x:c>
      <x:c r="B54" s="18" t="str">
        <x:v>N53</x:v>
      </x:c>
      <x:c r="C54" s="18" t="str">
        <x:v>現行項目との重複</x:v>
      </x:c>
      <x:c r="D54" s="18" t="str">
        <x:v>重複整理</x:v>
      </x:c>
      <x:c r="E54" s="18" t="str">
        <x:v>当月4掲載以上</x:v>
      </x:c>
      <x:c r="F54" s="18" t="str">
        <x:v>当月4掲載以上か否か</x:v>
      </x:c>
      <x:c r="G54" s="18" t="str">
        <x:v>当月4掲載以上か否か</x:v>
      </x:c>
      <x:c r="H54" s="18" t="str">
        <x:v>判定日を固定し、左記定義に該当する事実を日時付きで記録する。</x:v>
      </x:c>
      <x:c r="I54" s="18" t="str">
        <x:v>既存採点と二重加点しない。採用・配点は未確定。</x:v>
      </x:c>
      <x:c r="J54" s="18" t="str">
        <x:v>既存整理シートの未検証候補</x:v>
      </x:c>
      <x:c r="K54" s="18" t="str">
        <x:v>初掲載日4求人で継続率50%超</x:v>
      </x:c>
      <x:c r="L54" s="18" t="str">
        <x:v>必要な顧客への適切な利用を確認</x:v>
      </x:c>
      <x:c r="M54" s="18" t="str">
        <x:v>取得要確認</x:v>
      </x:c>
      <x:c r="N54" s="18" t="str">
        <x:v>Low対象で同一観測窓・募集量別に検証</x:v>
      </x:c>
      <x:c r="O54" s="18" t="str"/>
      <x:c r="P54" s="18" t="str">
        <x:v>S p.ヘルスコア構成要素 行45</x:v>
      </x:c>
      <x:c r="Q54" s="7" t="str"/>
      <x:c r="R54" s="7" t="str">
        <x:v>未着手</x:v>
      </x:c>
      <x:c r="S54" s="7" t="str">
        <x:v>未定</x:v>
      </x:c>
    </x:row>
    <x:row r="55" ht="75" customHeight="1">
      <x:c r="A55" s="6" t="n">
        <x:v>54</x:v>
      </x:c>
      <x:c r="B55" s="6" t="str">
        <x:v>N54</x:v>
      </x:c>
      <x:c r="C55" s="6" t="str">
        <x:v>現行項目との重複</x:v>
      </x:c>
      <x:c r="D55" s="6" t="str">
        <x:v>重複整理</x:v>
      </x:c>
      <x:c r="E55" s="6" t="str">
        <x:v>当月10掲載以上</x:v>
      </x:c>
      <x:c r="F55" s="6" t="str">
        <x:v>当月10掲載以上か否か</x:v>
      </x:c>
      <x:c r="G55" s="6" t="str">
        <x:v>当月10掲載以上か否か</x:v>
      </x:c>
      <x:c r="H55" s="6" t="str">
        <x:v>判定日を固定し、左記定義に該当する事実を日時付きで記録する。</x:v>
      </x:c>
      <x:c r="I55" s="6" t="str">
        <x:v>既存採点と二重加点しない。採用・配点は未確定。</x:v>
      </x:c>
      <x:c r="J55" s="6" t="str">
        <x:v>既存整理シートの未検証候補</x:v>
      </x:c>
      <x:c r="K55" s="6" t="str">
        <x:v>10回目で定着。10個以上でリジェクト影響が薄くなる</x:v>
      </x:c>
      <x:c r="L55" s="6" t="str">
        <x:v>必要な顧客への適切な利用を確認</x:v>
      </x:c>
      <x:c r="M55" s="6" t="str">
        <x:v>取得要確認</x:v>
      </x:c>
      <x:c r="N55" s="6" t="str">
        <x:v>Low対象で同一観測窓・募集量別に検証</x:v>
      </x:c>
      <x:c r="O55" s="6" t="str"/>
      <x:c r="P55" s="6" t="str">
        <x:v>S p.ヘルスコア構成要素 行46</x:v>
      </x:c>
      <x:c r="Q55" s="7" t="str"/>
      <x:c r="R55" s="7" t="str">
        <x:v>未着手</x:v>
      </x:c>
      <x:c r="S55" s="7" t="str">
        <x:v>未定</x:v>
      </x:c>
    </x:row>
    <x:row r="56" ht="75" customHeight="1">
      <x:c r="A56" s="18" t="n">
        <x:v>55</x:v>
      </x:c>
      <x:c r="B56" s="18" t="str">
        <x:v>N55</x:v>
      </x:c>
      <x:c r="C56" s="18" t="str">
        <x:v>現行項目との重複</x:v>
      </x:c>
      <x:c r="D56" s="18" t="str">
        <x:v>重複整理</x:v>
      </x:c>
      <x:c r="E56" s="18" t="str">
        <x:v>翌週継続有無</x:v>
      </x:c>
      <x:c r="F56" s="18" t="str">
        <x:v>初回募集の翌週に別募集を作成</x:v>
      </x:c>
      <x:c r="G56" s="18" t="str">
        <x:v>初回募集の翌週に別募集を作成</x:v>
      </x:c>
      <x:c r="H56" s="18" t="str">
        <x:v>判定日を固定し、左記定義に該当する事実を日時付きで記録する。</x:v>
      </x:c>
      <x:c r="I56" s="18" t="str">
        <x:v>既存採点と二重加点しない。採用・配点は未確定。</x:v>
      </x:c>
      <x:c r="J56" s="18" t="str">
        <x:v>既存整理シートの未検証候補</x:v>
      </x:c>
      <x:c r="K56" s="18" t="str">
        <x:v>fuzawaさんデータ</x:v>
      </x:c>
      <x:c r="L56" s="18" t="str">
        <x:v>必要な顧客への適切な利用を確認</x:v>
      </x:c>
      <x:c r="M56" s="18" t="str">
        <x:v>取得要確認</x:v>
      </x:c>
      <x:c r="N56" s="18" t="str">
        <x:v>Low対象で同一観測窓・募集量別に検証</x:v>
      </x:c>
      <x:c r="O56" s="18" t="str"/>
      <x:c r="P56" s="18" t="str">
        <x:v>S p.ヘルスコア構成要素 行47</x:v>
      </x:c>
      <x:c r="Q56" s="7" t="str"/>
      <x:c r="R56" s="7" t="str">
        <x:v>未着手</x:v>
      </x:c>
      <x:c r="S56" s="7" t="str">
        <x:v>未定</x:v>
      </x:c>
    </x:row>
    <x:row r="57" ht="75" customHeight="1">
      <x:c r="A57" s="6" t="n">
        <x:v>56</x:v>
      </x:c>
      <x:c r="B57" s="6" t="str">
        <x:v>N56</x:v>
      </x:c>
      <x:c r="C57" s="6" t="str">
        <x:v>現行項目との重複</x:v>
      </x:c>
      <x:c r="D57" s="6" t="str">
        <x:v>重複整理</x:v>
      </x:c>
      <x:c r="E57" s="6" t="str">
        <x:v>1ヶ月連続利用</x:v>
      </x:c>
      <x:c r="F57" s="6" t="str">
        <x:v>初回から1ヶ月内に掲載あり</x:v>
      </x:c>
      <x:c r="G57" s="6" t="str">
        <x:v>初回から1ヶ月内に掲載あり</x:v>
      </x:c>
      <x:c r="H57" s="6" t="str">
        <x:v>判定日を固定し、左記定義に該当する事実を日時付きで記録する。</x:v>
      </x:c>
      <x:c r="I57" s="6" t="str">
        <x:v>既存採点と二重加点しない。採用・配点は未確定。</x:v>
      </x:c>
      <x:c r="J57" s="6" t="str">
        <x:v>既存整理シートの未検証候補</x:v>
      </x:c>
      <x:c r="K57" s="6" t="str">
        <x:v>利用初月の稼働率高い店舗は翌月継続率高い</x:v>
      </x:c>
      <x:c r="L57" s="6" t="str">
        <x:v>必要な顧客への適切な利用を確認</x:v>
      </x:c>
      <x:c r="M57" s="6" t="str">
        <x:v>取得要確認</x:v>
      </x:c>
      <x:c r="N57" s="6" t="str">
        <x:v>Low対象で同一観測窓・募集量別に検証</x:v>
      </x:c>
      <x:c r="O57" s="6" t="str"/>
      <x:c r="P57" s="6" t="str">
        <x:v>S p.ヘルスコア構成要素 行48</x:v>
      </x:c>
      <x:c r="Q57" s="7" t="str"/>
      <x:c r="R57" s="7" t="str">
        <x:v>未着手</x:v>
      </x:c>
      <x:c r="S57" s="7" t="str">
        <x:v>未定</x:v>
      </x:c>
    </x:row>
    <x:row r="58" ht="75" customHeight="1">
      <x:c r="A58" s="18" t="n">
        <x:v>57</x:v>
      </x:c>
      <x:c r="B58" s="18" t="str">
        <x:v>N57</x:v>
      </x:c>
      <x:c r="C58" s="18" t="str">
        <x:v>現行項目との重複</x:v>
      </x:c>
      <x:c r="D58" s="18" t="str">
        <x:v>重複整理</x:v>
      </x:c>
      <x:c r="E58" s="18" t="str">
        <x:v>活動日新規月の募集数</x:v>
      </x:c>
      <x:c r="F58" s="18" t="str">
        <x:v>新規月の募集数（4以下は注意）</x:v>
      </x:c>
      <x:c r="G58" s="18" t="str">
        <x:v>新規月の募集数（4以下は注意）</x:v>
      </x:c>
      <x:c r="H58" s="18" t="str">
        <x:v>判定日を固定し、左記定義に該当する事実を日時付きで記録する。</x:v>
      </x:c>
      <x:c r="I58" s="18" t="str">
        <x:v>既存採点と二重加点しない。採用・配点は未確定。</x:v>
      </x:c>
      <x:c r="J58" s="18" t="str">
        <x:v>既存整理シートの未検証候補</x:v>
      </x:c>
      <x:c r="K58" s="18" t="str">
        <x:v>4以下で離脱リスク</x:v>
      </x:c>
      <x:c r="L58" s="18" t="str">
        <x:v>必要な顧客への適切な利用を確認</x:v>
      </x:c>
      <x:c r="M58" s="18" t="str">
        <x:v>取得要確認</x:v>
      </x:c>
      <x:c r="N58" s="18" t="str">
        <x:v>Low対象で同一観測窓・募集量別に検証</x:v>
      </x:c>
      <x:c r="O58" s="18" t="str"/>
      <x:c r="P58" s="18" t="str">
        <x:v>S p.ヘルスコア構成要素 行49</x:v>
      </x:c>
      <x:c r="Q58" s="7" t="str"/>
      <x:c r="R58" s="7" t="str">
        <x:v>未着手</x:v>
      </x:c>
      <x:c r="S58" s="7" t="str">
        <x:v>未定</x:v>
      </x:c>
    </x:row>
    <x:row r="59" ht="75" customHeight="1">
      <x:c r="A59" s="6" t="n">
        <x:v>58</x:v>
      </x:c>
      <x:c r="B59" s="6" t="str">
        <x:v>N58</x:v>
      </x:c>
      <x:c r="C59" s="6" t="str">
        <x:v>新規追加</x:v>
      </x:c>
      <x:c r="D59" s="6" t="str">
        <x:v>P3</x:v>
      </x:c>
      <x:c r="E59" s="6" t="str">
        <x:v>競合サービス利用兆候</x:v>
      </x:c>
      <x:c r="F59" s="6" t="str">
        <x:v>掲載頻度の急減・パターン変化等</x:v>
      </x:c>
      <x:c r="G59" s="6" t="str">
        <x:v>掲載頻度の急減・パターン変化等</x:v>
      </x:c>
      <x:c r="H59" s="6" t="str">
        <x:v>判定日を固定し、左記定義に該当する事実を日時付きで記録する。</x:v>
      </x:c>
      <x:c r="I59" s="6" t="str">
        <x:v>加点可否は検証後。採用・配点は未確定。</x:v>
      </x:c>
      <x:c r="J59" s="6" t="str">
        <x:v>既存整理シートの未検証候補</x:v>
      </x:c>
      <x:c r="K59" s="6" t="str">
        <x:v>掲載パターン変化から推定</x:v>
      </x:c>
      <x:c r="L59" s="6" t="str">
        <x:v>必要な顧客への適切な利用を確認</x:v>
      </x:c>
      <x:c r="M59" s="6" t="str">
        <x:v>取得要確認</x:v>
      </x:c>
      <x:c r="N59" s="6" t="str">
        <x:v>Low対象で同一観測窓・募集量別に検証</x:v>
      </x:c>
      <x:c r="O59" s="6" t="str"/>
      <x:c r="P59" s="6" t="str">
        <x:v>S p.ヘルスコア構成要素 行51</x:v>
      </x:c>
      <x:c r="Q59" s="7" t="str"/>
      <x:c r="R59" s="7" t="str">
        <x:v>未着手</x:v>
      </x:c>
      <x:c r="S59" s="7" t="str">
        <x:v>未定</x:v>
      </x:c>
    </x:row>
    <x:row r="60" ht="75" customHeight="1">
      <x:c r="A60" s="18" t="n">
        <x:v>59</x:v>
      </x:c>
      <x:c r="B60" s="18" t="str">
        <x:v>N59</x:v>
      </x:c>
      <x:c r="C60" s="18" t="str">
        <x:v>プロセス別管理</x:v>
      </x:c>
      <x:c r="D60" s="18" t="str">
        <x:v>別管理</x:v>
      </x:c>
      <x:c r="E60" s="18" t="str">
        <x:v>接触有無(利用後フォロー)</x:v>
      </x:c>
      <x:c r="F60" s="18" t="str">
        <x:v>初回稼働前に担当者に接触</x:v>
      </x:c>
      <x:c r="G60" s="18" t="str">
        <x:v>初回稼働前に担当者に接触</x:v>
      </x:c>
      <x:c r="H60" s="18" t="str">
        <x:v>判定日を固定し、左記定義に該当する事実を日時付きで記録する。</x:v>
      </x:c>
      <x:c r="I60" s="18" t="str">
        <x:v>完了点には加えない。採用・配点は未確定。</x:v>
      </x:c>
      <x:c r="J60" s="18" t="str">
        <x:v>既存整理シートの未検証候補</x:v>
      </x:c>
      <x:c r="K60" s="18" t="str">
        <x:v>初回稼働後の架電フォローで追加掲載促進効果あり</x:v>
      </x:c>
      <x:c r="L60" s="18" t="str">
        <x:v>支援実行率・対応期限を管理</x:v>
      </x:c>
      <x:c r="M60" s="18" t="str">
        <x:v>取得要確認</x:v>
      </x:c>
      <x:c r="N60" s="18" t="str">
        <x:v>Low対象で同一観測窓・募集量別に検証</x:v>
      </x:c>
      <x:c r="O60" s="18" t="str"/>
      <x:c r="P60" s="18" t="str">
        <x:v>S p.ヘルスコア構成要素 行52</x:v>
      </x:c>
      <x:c r="Q60" s="7" t="str"/>
      <x:c r="R60" s="7" t="str">
        <x:v>未着手</x:v>
      </x:c>
      <x:c r="S60" s="7" t="str">
        <x:v>未定</x:v>
      </x:c>
    </x:row>
    <x:row r="61" ht="75" customHeight="1">
      <x:c r="A61" s="6" t="n">
        <x:v>60</x:v>
      </x:c>
      <x:c r="B61" s="6" t="str">
        <x:v>N60</x:v>
      </x:c>
      <x:c r="C61" s="6" t="str">
        <x:v>プロセス別管理</x:v>
      </x:c>
      <x:c r="D61" s="6" t="str">
        <x:v>別管理</x:v>
      </x:c>
      <x:c r="E61" s="6" t="str">
        <x:v>請求の案内</x:v>
      </x:c>
      <x:c r="F61" s="6" t="str">
        <x:v>担当者への説明有無</x:v>
      </x:c>
      <x:c r="G61" s="6" t="str">
        <x:v>担当者への説明有無</x:v>
      </x:c>
      <x:c r="H61" s="6" t="str">
        <x:v>判定日を固定し、左記定義に該当する事実を日時付きで記録する。</x:v>
      </x:c>
      <x:c r="I61" s="6" t="str">
        <x:v>完了点には加えない。採用・配点は未確定。</x:v>
      </x:c>
      <x:c r="J61" s="6" t="str">
        <x:v>既存整理シートの未検証候補</x:v>
      </x:c>
      <x:c r="K61" s="6" t="str">
        <x:v>na</x:v>
      </x:c>
      <x:c r="L61" s="6" t="str">
        <x:v>支援実行率・対応期限を管理</x:v>
      </x:c>
      <x:c r="M61" s="6" t="str">
        <x:v>取得要確認</x:v>
      </x:c>
      <x:c r="N61" s="6" t="str">
        <x:v>Low対象で同一観測窓・募集量別に検証</x:v>
      </x:c>
      <x:c r="O61" s="6" t="str"/>
      <x:c r="P61" s="6" t="str">
        <x:v>S p.ヘルスコア構成要素 行53</x:v>
      </x:c>
      <x:c r="Q61" s="7" t="str"/>
      <x:c r="R61" s="7" t="str">
        <x:v>未着手</x:v>
      </x:c>
      <x:c r="S61" s="7" t="str">
        <x:v>未定</x:v>
      </x:c>
    </x:row>
    <x:row r="62" ht="75" customHeight="1">
      <x:c r="A62" s="18" t="n">
        <x:v>61</x:v>
      </x:c>
      <x:c r="B62" s="18" t="str">
        <x:v>N61</x:v>
      </x:c>
      <x:c r="C62" s="18" t="str">
        <x:v>プロセス別管理</x:v>
      </x:c>
      <x:c r="D62" s="18" t="str">
        <x:v>別管理</x:v>
      </x:c>
      <x:c r="E62" s="18" t="str">
        <x:v>休業手当の案内</x:v>
      </x:c>
      <x:c r="F62" s="18" t="str">
        <x:v>担当者への説明有無</x:v>
      </x:c>
      <x:c r="G62" s="18" t="str">
        <x:v>担当者への説明有無</x:v>
      </x:c>
      <x:c r="H62" s="18" t="str">
        <x:v>判定日を固定し、左記定義に該当する事実を日時付きで記録する。</x:v>
      </x:c>
      <x:c r="I62" s="18" t="str">
        <x:v>完了点には加えない。採用・配点は未確定。</x:v>
      </x:c>
      <x:c r="J62" s="18" t="str">
        <x:v>既存整理シートの未検証候補</x:v>
      </x:c>
      <x:c r="K62" s="18" t="str">
        <x:v>テセウスGTMに伴う休業手当モニタリング環境あり</x:v>
      </x:c>
      <x:c r="L62" s="18" t="str">
        <x:v>支援実行率・対応期限を管理</x:v>
      </x:c>
      <x:c r="M62" s="18" t="str">
        <x:v>取得要確認</x:v>
      </x:c>
      <x:c r="N62" s="18" t="str">
        <x:v>Low対象で同一観測窓・募集量別に検証</x:v>
      </x:c>
      <x:c r="O62" s="18" t="str"/>
      <x:c r="P62" s="18" t="str">
        <x:v>S p.ヘルスコア構成要素 行54</x:v>
      </x:c>
      <x:c r="Q62" s="7" t="str"/>
      <x:c r="R62" s="7" t="str">
        <x:v>未着手</x:v>
      </x:c>
      <x:c r="S62" s="7" t="str">
        <x:v>未定</x:v>
      </x:c>
    </x:row>
    <x:row r="63" ht="75" customHeight="1">
      <x:c r="A63" s="6" t="n">
        <x:v>62</x:v>
      </x:c>
      <x:c r="B63" s="6" t="str">
        <x:v>N62</x:v>
      </x:c>
      <x:c r="C63" s="6" t="str">
        <x:v>プロセス別管理</x:v>
      </x:c>
      <x:c r="D63" s="6" t="str">
        <x:v>別管理</x:v>
      </x:c>
      <x:c r="E63" s="6" t="str">
        <x:v>接触有無(利用前フォロー)</x:v>
      </x:c>
      <x:c r="F63" s="6" t="str">
        <x:v>利用前営業・懸念払拭</x:v>
      </x:c>
      <x:c r="G63" s="6" t="str">
        <x:v>利用前営業・懸念払拭</x:v>
      </x:c>
      <x:c r="H63" s="6" t="str">
        <x:v>判定日を固定し、左記定義に該当する事実を日時付きで記録する。</x:v>
      </x:c>
      <x:c r="I63" s="6" t="str">
        <x:v>完了点には加えない。採用・配点は未確定。</x:v>
      </x:c>
      <x:c r="J63" s="6" t="str">
        <x:v>既存整理シートの未検証候補</x:v>
      </x:c>
      <x:c r="K63" s="6" t="str">
        <x:v>フォロー架電で掲載率・継続率の増加効果確認</x:v>
      </x:c>
      <x:c r="L63" s="6" t="str">
        <x:v>支援実行率・対応期限を管理</x:v>
      </x:c>
      <x:c r="M63" s="6" t="str">
        <x:v>取得要確認</x:v>
      </x:c>
      <x:c r="N63" s="6" t="str">
        <x:v>Low対象で同一観測窓・募集量別に検証</x:v>
      </x:c>
      <x:c r="O63" s="6" t="str"/>
      <x:c r="P63" s="6" t="str">
        <x:v>S p.ヘルスコア構成要素 行55</x:v>
      </x:c>
      <x:c r="Q63" s="7" t="str"/>
      <x:c r="R63" s="7" t="str">
        <x:v>未着手</x:v>
      </x:c>
      <x:c r="S63" s="7" t="str">
        <x:v>未定</x:v>
      </x:c>
    </x:row>
    <x:row r="64" ht="75" customHeight="1">
      <x:c r="A64" s="18" t="n">
        <x:v>63</x:v>
      </x:c>
      <x:c r="B64" s="18" t="str">
        <x:v>N63</x:v>
      </x:c>
      <x:c r="C64" s="18" t="str">
        <x:v>プロセス別管理</x:v>
      </x:c>
      <x:c r="D64" s="18" t="str">
        <x:v>別管理</x:v>
      </x:c>
      <x:c r="E64" s="18" t="str">
        <x:v>初回作成7日以内に架電済み</x:v>
      </x:c>
      <x:c r="F64" s="18" t="str">
        <x:v>初回募集作成から7日以内に架電</x:v>
      </x:c>
      <x:c r="G64" s="18" t="str">
        <x:v>初回募集作成から7日以内に架電</x:v>
      </x:c>
      <x:c r="H64" s="18" t="str">
        <x:v>判定日を固定し、左記定義に該当する事実を日時付きで記録する。</x:v>
      </x:c>
      <x:c r="I64" s="18" t="str">
        <x:v>完了点には加えない。採用・配点は未確定。</x:v>
      </x:c>
      <x:c r="J64" s="18" t="str">
        <x:v>既存整理シートの未検証候補</x:v>
      </x:c>
      <x:c r="K64" s="18" t="str">
        <x:v>架電SLA。初回体験直後のフォローが最も効果的</x:v>
      </x:c>
      <x:c r="L64" s="18" t="str">
        <x:v>支援実行率・対応期限を管理</x:v>
      </x:c>
      <x:c r="M64" s="18" t="str">
        <x:v>取得要確認</x:v>
      </x:c>
      <x:c r="N64" s="18" t="str">
        <x:v>Low対象で同一観測窓・募集量別に検証</x:v>
      </x:c>
      <x:c r="O64" s="18" t="str"/>
      <x:c r="P64" s="18" t="str">
        <x:v>S p.ヘルスコア構成要素 行56</x:v>
      </x:c>
      <x:c r="Q64" s="7" t="str"/>
      <x:c r="R64" s="7" t="str">
        <x:v>未着手</x:v>
      </x:c>
      <x:c r="S64" s="7" t="str">
        <x:v>未定</x:v>
      </x:c>
    </x:row>
    <x:row r="65" ht="75" customHeight="1">
      <x:c r="A65" s="6" t="n">
        <x:v>64</x:v>
      </x:c>
      <x:c r="B65" s="6" t="str">
        <x:v>N64</x:v>
      </x:c>
      <x:c r="C65" s="6" t="str">
        <x:v>プロセス別管理</x:v>
      </x:c>
      <x:c r="D65" s="6" t="str">
        <x:v>別管理</x:v>
      </x:c>
      <x:c r="E65" s="6" t="str">
        <x:v>初回作成7日以内に接触済み</x:v>
      </x:c>
      <x:c r="F65" s="6" t="str">
        <x:v>初回募集作成から7日以内に接触</x:v>
      </x:c>
      <x:c r="G65" s="6" t="str">
        <x:v>初回募集作成から7日以内に接触</x:v>
      </x:c>
      <x:c r="H65" s="6" t="str">
        <x:v>判定日を固定し、左記定義に該当する事実を日時付きで記録する。</x:v>
      </x:c>
      <x:c r="I65" s="6" t="str">
        <x:v>完了点には加えない。採用・配点は未確定。</x:v>
      </x:c>
      <x:c r="J65" s="6" t="str">
        <x:v>既存整理シートの未検証候補</x:v>
      </x:c>
      <x:c r="K65" s="6" t="str">
        <x:v>接触SLA（架電以外含む）</x:v>
      </x:c>
      <x:c r="L65" s="6" t="str">
        <x:v>支援実行率・対応期限を管理</x:v>
      </x:c>
      <x:c r="M65" s="6" t="str">
        <x:v>取得要確認</x:v>
      </x:c>
      <x:c r="N65" s="6" t="str">
        <x:v>Low対象で同一観測窓・募集量別に検証</x:v>
      </x:c>
      <x:c r="O65" s="6" t="str"/>
      <x:c r="P65" s="6" t="str">
        <x:v>S p.ヘルスコア構成要素 行57</x:v>
      </x:c>
      <x:c r="Q65" s="7" t="str"/>
      <x:c r="R65" s="7" t="str">
        <x:v>未着手</x:v>
      </x:c>
      <x:c r="S65" s="7" t="str">
        <x:v>未定</x:v>
      </x:c>
    </x:row>
    <x:row r="66" ht="75" customHeight="1">
      <x:c r="A66" s="18" t="n">
        <x:v>65</x:v>
      </x:c>
      <x:c r="B66" s="18" t="str">
        <x:v>N65</x:v>
      </x:c>
      <x:c r="C66" s="18" t="str">
        <x:v>新規追加</x:v>
      </x:c>
      <x:c r="D66" s="18" t="str">
        <x:v>P3</x:v>
      </x:c>
      <x:c r="E66" s="18" t="str">
        <x:v>初回稼働後の追加掲載</x:v>
      </x:c>
      <x:c r="F66" s="18" t="str">
        <x:v>初回実稼働の終了後に新しい募集を公開</x:v>
      </x:c>
      <x:c r="G66" s="18" t="str">
        <x:v>初回実稼働の終了後に新しい募集を公開</x:v>
      </x:c>
      <x:c r="H66" s="18" t="str">
        <x:v>判定日を固定し、左記定義に該当する事実を日時付きで記録する。</x:v>
      </x:c>
      <x:c r="I66" s="18" t="str">
        <x:v>採点保留・状態記録。採用・配点は未確定。</x:v>
      </x:c>
      <x:c r="J66" s="18" t="str">
        <x:v>運用を具体化する追加仮説</x:v>
      </x:c>
      <x:c r="K66" s="18" t="str">
        <x:v>定量値なし</x:v>
      </x:c>
      <x:c r="L66" s="18" t="str">
        <x:v>取得・定義から着手</x:v>
      </x:c>
      <x:c r="M66" s="18" t="str">
        <x:v>取得要確認</x:v>
      </x:c>
      <x:c r="N66" s="18" t="str">
        <x:v>Low対象で同一観測窓・募集量別に検証</x:v>
      </x:c>
      <x:c r="O66" s="18" t="str"/>
      <x:c r="P66" s="18" t="str">
        <x:v>S p.</x:v>
      </x:c>
      <x:c r="Q66" s="7" t="str"/>
      <x:c r="R66" s="7" t="str">
        <x:v>未着手</x:v>
      </x:c>
      <x:c r="S66" s="7" t="str">
        <x:v>未定</x:v>
      </x:c>
    </x:row>
    <x:row r="67" ht="75" customHeight="1">
      <x:c r="A67" s="6" t="n">
        <x:v>66</x:v>
      </x:c>
      <x:c r="B67" s="6" t="str">
        <x:v>N66</x:v>
      </x:c>
      <x:c r="C67" s="6" t="str">
        <x:v>新規追加</x:v>
      </x:c>
      <x:c r="D67" s="6" t="str">
        <x:v>P3</x:v>
      </x:c>
      <x:c r="E67" s="6" t="str">
        <x:v>次回公開の予定遵守</x:v>
      </x:c>
      <x:c r="F67" s="6" t="str">
        <x:v>合意した公開期限までの公開有無</x:v>
      </x:c>
      <x:c r="G67" s="6" t="str">
        <x:v>合意した公開期限までの公開有無</x:v>
      </x:c>
      <x:c r="H67" s="6" t="str">
        <x:v>判定日を固定し、左記定義に該当する事実を日時付きで記録する。</x:v>
      </x:c>
      <x:c r="I67" s="6" t="str">
        <x:v>採点保留・状態記録。採用・配点は未確定。</x:v>
      </x:c>
      <x:c r="J67" s="6" t="str">
        <x:v>運用を具体化する追加仮説</x:v>
      </x:c>
      <x:c r="K67" s="6" t="str">
        <x:v>定量値なし</x:v>
      </x:c>
      <x:c r="L67" s="6" t="str">
        <x:v>取得・定義から着手</x:v>
      </x:c>
      <x:c r="M67" s="6" t="str">
        <x:v>取得要確認</x:v>
      </x:c>
      <x:c r="N67" s="6" t="str">
        <x:v>Low対象で同一観測窓・募集量別に検証</x:v>
      </x:c>
      <x:c r="O67" s="6" t="str"/>
      <x:c r="P67" s="6" t="str">
        <x:v>S p.</x:v>
      </x:c>
      <x:c r="Q67" s="7" t="str"/>
      <x:c r="R67" s="7" t="str">
        <x:v>未着手</x:v>
      </x:c>
      <x:c r="S67" s="7" t="str">
        <x:v>未定</x:v>
      </x:c>
    </x:row>
    <x:row r="68" ht="75" customHeight="1">
      <x:c r="A68" s="18" t="n">
        <x:v>67</x:v>
      </x:c>
      <x:c r="B68" s="18" t="str">
        <x:v>N67</x:v>
      </x:c>
      <x:c r="C68" s="18" t="str">
        <x:v>新規追加</x:v>
      </x:c>
      <x:c r="D68" s="18" t="str">
        <x:v>P3</x:v>
      </x:c>
      <x:c r="E68" s="18" t="str">
        <x:v>初回成功稼働までの日数</x:v>
      </x:c>
      <x:c r="F68" s="18" t="str">
        <x:v>初回公開から実稼働までの経過日数</x:v>
      </x:c>
      <x:c r="G68" s="18" t="str">
        <x:v>初回公開から実稼働までの経過日数</x:v>
      </x:c>
      <x:c r="H68" s="18" t="str">
        <x:v>判定日を固定し、左記定義に該当する事実を日時付きで記録する。</x:v>
      </x:c>
      <x:c r="I68" s="18" t="str">
        <x:v>採点保留・状態記録。採用・配点は未確定。</x:v>
      </x:c>
      <x:c r="J68" s="18" t="str">
        <x:v>運用を具体化する追加仮説</x:v>
      </x:c>
      <x:c r="K68" s="18" t="str">
        <x:v>定量値なし</x:v>
      </x:c>
      <x:c r="L68" s="18" t="str">
        <x:v>取得・定義から着手</x:v>
      </x:c>
      <x:c r="M68" s="18" t="str">
        <x:v>取得要確認</x:v>
      </x:c>
      <x:c r="N68" s="18" t="str">
        <x:v>Low対象で同一観測窓・募集量別に検証</x:v>
      </x:c>
      <x:c r="O68" s="18" t="str"/>
      <x:c r="P68" s="18" t="str">
        <x:v>S p.</x:v>
      </x:c>
      <x:c r="Q68" s="7" t="str"/>
      <x:c r="R68" s="7" t="str">
        <x:v>未着手</x:v>
      </x:c>
      <x:c r="S68" s="7" t="str">
        <x:v>未定</x:v>
      </x:c>
    </x:row>
    <x:row r="69" ht="75" customHeight="1">
      <x:c r="A69" s="6" t="n">
        <x:v>68</x:v>
      </x:c>
      <x:c r="B69" s="6" t="str">
        <x:v>N68</x:v>
      </x:c>
      <x:c r="C69" s="6" t="str">
        <x:v>新規追加</x:v>
      </x:c>
      <x:c r="D69" s="6" t="str">
        <x:v>P3</x:v>
      </x:c>
      <x:c r="E69" s="6" t="str">
        <x:v>下書き作成後の未公開</x:v>
      </x:c>
      <x:c r="F69" s="6" t="str">
        <x:v>作成日時から公開なしで経過した日数</x:v>
      </x:c>
      <x:c r="G69" s="6" t="str">
        <x:v>作成日時から公開なしで経過した日数</x:v>
      </x:c>
      <x:c r="H69" s="6" t="str">
        <x:v>判定日を固定し、左記定義に該当する事実を日時付きで記録する。</x:v>
      </x:c>
      <x:c r="I69" s="6" t="str">
        <x:v>採点保留・状態記録。採用・配点は未確定。</x:v>
      </x:c>
      <x:c r="J69" s="6" t="str">
        <x:v>運用を具体化する追加仮説</x:v>
      </x:c>
      <x:c r="K69" s="6" t="str">
        <x:v>定量値なし</x:v>
      </x:c>
      <x:c r="L69" s="6" t="str">
        <x:v>取得・定義から着手</x:v>
      </x:c>
      <x:c r="M69" s="6" t="str">
        <x:v>取得要確認</x:v>
      </x:c>
      <x:c r="N69" s="6" t="str">
        <x:v>Low対象で同一観測窓・募集量別に検証</x:v>
      </x:c>
      <x:c r="O69" s="6" t="str"/>
      <x:c r="P69" s="6" t="str">
        <x:v>S p.</x:v>
      </x:c>
      <x:c r="Q69" s="7" t="str"/>
      <x:c r="R69" s="7" t="str">
        <x:v>未着手</x:v>
      </x:c>
      <x:c r="S69" s="7" t="str">
        <x:v>未定</x:v>
      </x:c>
    </x:row>
    <x:row r="70" ht="75" customHeight="1">
      <x:c r="A70" s="18" t="n">
        <x:v>69</x:v>
      </x:c>
      <x:c r="B70" s="18" t="str">
        <x:v>N69</x:v>
      </x:c>
      <x:c r="C70" s="18" t="str">
        <x:v>新規追加</x:v>
      </x:c>
      <x:c r="D70" s="18" t="str">
        <x:v>P3</x:v>
      </x:c>
      <x:c r="E70" s="18" t="str">
        <x:v>担当者・決裁者の確定</x:v>
      </x:c>
      <x:c r="F70" s="18" t="str">
        <x:v>担当者、決裁者、承認経路の確認</x:v>
      </x:c>
      <x:c r="G70" s="18" t="str">
        <x:v>担当者、決裁者、承認経路の確認</x:v>
      </x:c>
      <x:c r="H70" s="18" t="str">
        <x:v>判定日を固定し、左記定義に該当する事実を日時付きで記録する。</x:v>
      </x:c>
      <x:c r="I70" s="18" t="str">
        <x:v>採点保留・状態記録。採用・配点は未確定。</x:v>
      </x:c>
      <x:c r="J70" s="18" t="str">
        <x:v>運用を具体化する追加仮説</x:v>
      </x:c>
      <x:c r="K70" s="18" t="str">
        <x:v>定量値なし</x:v>
      </x:c>
      <x:c r="L70" s="18" t="str">
        <x:v>取得・定義から着手</x:v>
      </x:c>
      <x:c r="M70" s="18" t="str">
        <x:v>取得要確認</x:v>
      </x:c>
      <x:c r="N70" s="18" t="str">
        <x:v>Low対象で同一観測窓・募集量別に検証</x:v>
      </x:c>
      <x:c r="O70" s="18" t="str"/>
      <x:c r="P70" s="18" t="str">
        <x:v>S p.</x:v>
      </x:c>
      <x:c r="Q70" s="7" t="str"/>
      <x:c r="R70" s="7" t="str">
        <x:v>未着手</x:v>
      </x:c>
      <x:c r="S70" s="7" t="str">
        <x:v>未定</x:v>
      </x:c>
    </x:row>
    <x:row r="71" ht="75" customHeight="1">
      <x:c r="A71" s="6" t="n">
        <x:v>70</x:v>
      </x:c>
      <x:c r="B71" s="6" t="str">
        <x:v>N70</x:v>
      </x:c>
      <x:c r="C71" s="6" t="str">
        <x:v>新規追加</x:v>
      </x:c>
      <x:c r="D71" s="6" t="str">
        <x:v>P3</x:v>
      </x:c>
      <x:c r="E71" s="6" t="str">
        <x:v>未払い・利用制限</x:v>
      </x:c>
      <x:c r="F71" s="6" t="str">
        <x:v>利用停止につながる制限と解消日</x:v>
      </x:c>
      <x:c r="G71" s="6" t="str">
        <x:v>利用停止につながる制限と解消日</x:v>
      </x:c>
      <x:c r="H71" s="6" t="str">
        <x:v>判定日を固定し、左記定義に該当する事実を日時付きで記録する。</x:v>
      </x:c>
      <x:c r="I71" s="6" t="str">
        <x:v>採点保留・状態記録。採用・配点は未確定。</x:v>
      </x:c>
      <x:c r="J71" s="6" t="str">
        <x:v>運用を具体化する追加仮説</x:v>
      </x:c>
      <x:c r="K71" s="6" t="str">
        <x:v>定量値なし</x:v>
      </x:c>
      <x:c r="L71" s="6" t="str">
        <x:v>取得・定義から着手</x:v>
      </x:c>
      <x:c r="M71" s="6" t="str">
        <x:v>取得要確認</x:v>
      </x:c>
      <x:c r="N71" s="6" t="str">
        <x:v>Low対象で同一観測窓・募集量別に検証</x:v>
      </x:c>
      <x:c r="O71" s="6" t="str"/>
      <x:c r="P71" s="6" t="str">
        <x:v>S p.</x:v>
      </x:c>
      <x:c r="Q71" s="7" t="str"/>
      <x:c r="R71" s="7" t="str">
        <x:v>未着手</x:v>
      </x:c>
      <x:c r="S71" s="7" t="str">
        <x:v>未定</x:v>
      </x:c>
    </x:row>
    <x:row r="72" ht="75" customHeight="1">
      <x:c r="A72" s="18" t="n">
        <x:v>71</x:v>
      </x:c>
      <x:c r="B72" s="18" t="str">
        <x:v>N71</x:v>
      </x:c>
      <x:c r="C72" s="18" t="str">
        <x:v>新規追加</x:v>
      </x:c>
      <x:c r="D72" s="18" t="str">
        <x:v>P3</x:v>
      </x:c>
      <x:c r="E72" s="18" t="str">
        <x:v>費用・担当者工数の障害</x:v>
      </x:c>
      <x:c r="F72" s="18" t="str">
        <x:v>顧客が明言した障害と対応履歴</x:v>
      </x:c>
      <x:c r="G72" s="18" t="str">
        <x:v>顧客が明言した障害と対応履歴</x:v>
      </x:c>
      <x:c r="H72" s="18" t="str">
        <x:v>判定日を固定し、左記定義に該当する事実を日時付きで記録する。</x:v>
      </x:c>
      <x:c r="I72" s="18" t="str">
        <x:v>採点保留・状態記録。採用・配点は未確定。</x:v>
      </x:c>
      <x:c r="J72" s="18" t="str">
        <x:v>運用を具体化する追加仮説</x:v>
      </x:c>
      <x:c r="K72" s="18" t="str">
        <x:v>定量値なし</x:v>
      </x:c>
      <x:c r="L72" s="18" t="str">
        <x:v>取得・定義から着手</x:v>
      </x:c>
      <x:c r="M72" s="18" t="str">
        <x:v>取得要確認</x:v>
      </x:c>
      <x:c r="N72" s="18" t="str">
        <x:v>Low対象で同一観測窓・募集量別に検証</x:v>
      </x:c>
      <x:c r="O72" s="18" t="str"/>
      <x:c r="P72" s="18" t="str">
        <x:v>S p.</x:v>
      </x:c>
      <x:c r="Q72" s="7" t="str"/>
      <x:c r="R72" s="7" t="str">
        <x:v>未着手</x:v>
      </x:c>
      <x:c r="S72" s="7" t="str">
        <x:v>未定</x:v>
      </x:c>
    </x:row>
    <x:row r="73" ht="75" customHeight="1">
      <x:c r="A73" s="6" t="n">
        <x:v>72</x:v>
      </x:c>
      <x:c r="B73" s="6" t="str">
        <x:v>N72</x:v>
      </x:c>
      <x:c r="C73" s="6" t="str">
        <x:v>属性補正</x:v>
      </x:c>
      <x:c r="D73" s="6" t="str">
        <x:v>別管理</x:v>
      </x:c>
      <x:c r="E73" s="6" t="str">
        <x:v>流入・規模・業種・初回時期</x:v>
      </x:c>
      <x:c r="F73" s="6" t="str">
        <x:v>介入前に確定した属性。完了点から除外</x:v>
      </x:c>
      <x:c r="G73" s="6" t="str">
        <x:v>介入前に確定した属性。完了点から除外</x:v>
      </x:c>
      <x:c r="H73" s="6" t="str">
        <x:v>判定日を固定し、左記定義に該当する事実を日時付きで記録する。</x:v>
      </x:c>
      <x:c r="I73" s="6" t="str">
        <x:v>採点保留・状態記録。採用・配点は未確定。</x:v>
      </x:c>
      <x:c r="J73" s="6" t="str">
        <x:v>運用を具体化する追加仮説</x:v>
      </x:c>
      <x:c r="K73" s="6" t="str">
        <x:v>定量値なし</x:v>
      </x:c>
      <x:c r="L73" s="6" t="str">
        <x:v>取得・定義から着手</x:v>
      </x:c>
      <x:c r="M73" s="6" t="str">
        <x:v>取得要確認</x:v>
      </x:c>
      <x:c r="N73" s="6" t="str">
        <x:v>Low対象で同一観測窓・募集量別に検証</x:v>
      </x:c>
      <x:c r="O73" s="6" t="str"/>
      <x:c r="P73" s="6" t="str">
        <x:v>S p.</x:v>
      </x:c>
      <x:c r="Q73" s="7" t="str"/>
      <x:c r="R73" s="7" t="str">
        <x:v>未着手</x:v>
      </x:c>
      <x:c r="S73" s="7" t="str">
        <x:v>未定</x:v>
      </x:c>
    </x:row>
  </x:sheetData>
  <x:dataValidations count="2">
    <x:dataValidation type="list" sqref="R2:R73">
      <x:formula1>"未着手,確認中,検証中,検証済み"</x:formula1>
    </x:dataValidation>
    <x:dataValidation type="list" sqref="S2:S73">
      <x:formula1>"未定,採用,保留,除外"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bb8e56ffbb4a1d"/>
  </x:tableParts>
</x:worksheet>
</file>

<file path=xl/worksheets/sheet3.xml><?xml version="1.0" encoding="utf-8"?>
<x:worksheet xmlns:x="http://schemas.openxmlformats.org/spreadsheetml/2006/main">
  <x:sheetPr>
    <x:tabColor rgb="FFFFD1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15" hidden="0" customWidth="1"/>
  </x:cols>
  <x:sheetData>
    <x:row r="1" ht="34" customHeight="1">
      <x:c r="A1" s="5" t="str">
        <x:v>区分</x:v>
      </x:c>
      <x:c r="B1" s="5" t="str">
        <x:v>項目</x:v>
      </x:c>
      <x:c r="C1" s="5" t="str">
        <x:v>説明・実施方法</x:v>
      </x:c>
    </x:row>
    <x:row r="2" ht="62" customHeight="1">
      <x:c r="A2" s="3" t="str">
        <x:v>読み方</x:v>
      </x:c>
      <x:c r="B2" s="3" t="str">
        <x:v>現行と候補</x:v>
      </x:c>
      <x:c r="C2" s="3" t="str">
        <x:v>現行は新たに提示されたPoC PDF p.5を主に整理。候補は未採用。根拠があっても自動で点数へ追加しない。</x:v>
      </x:c>
    </x:row>
    <x:row r="3" ht="62" customHeight="1">
      <x:c r="A3" s="6" t="str">
        <x:v>対象</x:v>
      </x:c>
      <x:c r="B3" s="6" t="str">
        <x:v>当月新規</x:v>
      </x:c>
      <x:c r="C3" s="6" t="str">
        <x:v>その月に初めて掲載した顧客。当月5項目で採点し週次更新。</x:v>
      </x:c>
    </x:row>
    <x:row r="4" ht="62" customHeight="1">
      <x:c r="A4" s="3" t="str">
        <x:v>対象</x:v>
      </x:c>
      <x:c r="B4" s="3" t="str">
        <x:v>翌月未継続</x:v>
      </x:c>
      <x:c r="C4" s="3" t="str">
        <x:v>前月に初回掲載し、今月まだ掲載がない顧客。別の5項目で採点。翌月17日時点で未継続を確認。</x:v>
      </x:c>
    </x:row>
    <x:row r="5" ht="62" customHeight="1">
      <x:c r="A5" s="6" t="str">
        <x:v>対象</x:v>
      </x:c>
      <x:c r="B5" s="6" t="str">
        <x:v>卒業</x:v>
      </x:c>
      <x:c r="C5" s="6" t="str">
        <x:v>翌月に1件以上掲載したら転換スコアの対象外。ONB完了率の将来定義とは別。</x:v>
      </x:c>
    </x:row>
    <x:row r="6" ht="62" customHeight="1">
      <x:c r="A6" s="3" t="str">
        <x:v>用語</x:v>
      </x:c>
      <x:c r="B6" s="3" t="str">
        <x:v>ONB</x:v>
      </x:c>
      <x:c r="C6" s="3" t="str">
        <x:v>オンボーディング。顧客が使い方を理解し、必要なときに利用できる状態まで支援すること。</x:v>
      </x:c>
    </x:row>
    <x:row r="7" ht="62" customHeight="1">
      <x:c r="A7" s="6" t="str">
        <x:v>用語</x:v>
      </x:c>
      <x:c r="B7" s="6" t="str">
        <x:v>PoC</x:v>
      </x:c>
      <x:c r="C7" s="6" t="str">
        <x:v>小さく試す検証運用。現在の点数が最適と確定したという意味ではない。</x:v>
      </x:c>
    </x:row>
    <x:row r="8" ht="62" customHeight="1">
      <x:c r="A8" s="3" t="str">
        <x:v>用語</x:v>
      </x:c>
      <x:c r="B8" s="3" t="str">
        <x:v>掲載・公開</x:v>
      </x:c>
      <x:c r="C8" s="3" t="str">
        <x:v>募集を顧客が公開すること。募集の作成日時・仕事開始日時・実稼働日時を区別する。</x:v>
      </x:c>
    </x:row>
    <x:row r="9" ht="62" customHeight="1">
      <x:c r="A9" s="6" t="str">
        <x:v>用語</x:v>
      </x:c>
      <x:c r="B9" s="6" t="str">
        <x:v>ヨミ</x:v>
      </x:c>
      <x:c r="C9" s="6" t="str">
        <x:v>営業が確認した利用見込み。A＝稼働日まで合意、B＝時期まで合意。細分類は運用表で確認。</x:v>
      </x:c>
    </x:row>
    <x:row r="10" ht="62" customHeight="1">
      <x:c r="A10" s="3" t="str">
        <x:v>用語</x:v>
      </x:c>
      <x:c r="B10" s="3" t="str">
        <x:v>スコアとランク</x:v>
      </x:c>
      <x:c r="C10" s="3" t="str">
        <x:v>スコアは項目の合計点。ランクは合計点をA〜Eなどに区切ったもの。ヨミのA〜Eとは別。</x:v>
      </x:c>
    </x:row>
    <x:row r="11" ht="62" customHeight="1">
      <x:c r="A11" s="6" t="str">
        <x:v>用語</x:v>
      </x:c>
      <x:c r="B11" s="6" t="str">
        <x:v>継続率とpt</x:v>
      </x:c>
      <x:c r="C11" s="6" t="str">
        <x:v>対象顧客のうち次の期間にも掲載した割合。70%−50%＝20pt差。20%増とは異なる。</x:v>
      </x:c>
    </x:row>
    <x:row r="12" ht="62" customHeight="1">
      <x:c r="A12" s="3" t="str">
        <x:v>用語</x:v>
      </x:c>
      <x:c r="B12" s="3" t="str">
        <x:v>n・コホート</x:v>
      </x:c>
      <x:c r="C12" s="3" t="str">
        <x:v>nは対象数。コホートは初回利用月などが同じ顧客集団。条件の異なる集団を混ぜない。</x:v>
      </x:c>
    </x:row>
    <x:row r="13" ht="62" customHeight="1">
      <x:c r="A13" s="6" t="str">
        <x:v>用語</x:v>
      </x:c>
      <x:c r="B13" s="6" t="str">
        <x:v>関連と効果</x:v>
      </x:c>
      <x:c r="C13" s="6" t="str">
        <x:v>継続率に差があっても、その行動をさせれば同じ差だけ改善するとは限らない。</x:v>
      </x:c>
    </x:row>
    <x:row r="14" ht="62" customHeight="1">
      <x:c r="A14" s="3" t="str">
        <x:v>手順</x:v>
      </x:c>
      <x:c r="B14" s="3" t="str">
        <x:v>1 対象と日付</x:v>
      </x:c>
      <x:c r="C14" s="3" t="str">
        <x:v>初回掲載月、判定日、対象月、翌月掲載有無を確認する。</x:v>
      </x:c>
    </x:row>
    <x:row r="15" ht="62" customHeight="1">
      <x:c r="A15" s="6" t="str">
        <x:v>手順</x:v>
      </x:c>
      <x:c r="B15" s="6" t="str">
        <x:v>2 事実を確認</x:v>
      </x:c>
      <x:c r="C15" s="6" t="str">
        <x:v>掲載記録・ヨミ・最終接触・アラートを確認。未入力は未確認と記録する。</x:v>
      </x:c>
    </x:row>
    <x:row r="16" ht="62" customHeight="1">
      <x:c r="A16" s="3" t="str">
        <x:v>手順</x:v>
      </x:c>
      <x:c r="B16" s="3" t="str">
        <x:v>3 項目ごとに採点</x:v>
      </x:c>
      <x:c r="C16" s="3" t="str">
        <x:v>現行スコアシートの条件を使用。資料間不一致は責任者へ照合する。</x:v>
      </x:c>
    </x:row>
    <x:row r="17" ht="62" customHeight="1">
      <x:c r="A17" s="6" t="str">
        <x:v>手順</x:v>
      </x:c>
      <x:c r="B17" s="6" t="str">
        <x:v>4 合計とランク</x:v>
      </x:c>
      <x:c r="C17" s="6" t="str">
        <x:v>「採点の練習」シートを参照。ランク表にない点は勝手に近いランクへ寄せない。</x:v>
      </x:c>
    </x:row>
    <x:row r="18" ht="62" customHeight="1">
      <x:c r="A18" s="3" t="str">
        <x:v>手順</x:v>
      </x:c>
      <x:c r="B18" s="3" t="str">
        <x:v>5 アクション</x:v>
      </x:c>
      <x:c r="C18" s="3" t="str">
        <x:v>ランク別の手段を選んだうえで、低い項目の原因に合わせて質問・支援する。</x:v>
      </x:c>
    </x:row>
    <x:row r="19" ht="62" customHeight="1">
      <x:c r="A19" s="6" t="str">
        <x:v>手順</x:v>
      </x:c>
      <x:c r="B19" s="6" t="str">
        <x:v>6 記録</x:v>
      </x:c>
      <x:c r="C19" s="6" t="str">
        <x:v>原因、次の約束、担当、期限、対応結果を記録して週次更新。</x:v>
      </x:c>
    </x:row>
    <x:row r="20" ht="62" customHeight="1">
      <x:c r="A20" s="3" t="str">
        <x:v>原資料のランク</x:v>
      </x:c>
      <x:c r="B20" s="3" t="str">
        <x:v>A</x:v>
      </x:c>
      <x:c r="C20" s="3" t="str">
        <x:v>当月5点／翌月2点。当月営業なし・翌月未継続なら電話。</x:v>
      </x:c>
    </x:row>
    <x:row r="21" ht="62" customHeight="1">
      <x:c r="A21" s="6" t="str">
        <x:v>原資料のランク</x:v>
      </x:c>
      <x:c r="B21" s="6" t="str">
        <x:v>B</x:v>
      </x:c>
      <x:c r="C21" s="6" t="str">
        <x:v>当月3〜4点／翌月1点。当月営業なし・翌月未継続なら電話。</x:v>
      </x:c>
    </x:row>
    <x:row r="22" ht="62" customHeight="1">
      <x:c r="A22" s="3" t="str">
        <x:v>原資料のランク</x:v>
      </x:c>
      <x:c r="B22" s="3" t="str">
        <x:v>C</x:v>
      </x:c>
      <x:c r="C22" s="3" t="str">
        <x:v>当月2点／翌月0点。当月電話・翌月は関東対面／地方WEB。</x:v>
      </x:c>
    </x:row>
    <x:row r="23" ht="62" customHeight="1">
      <x:c r="A23" s="6" t="str">
        <x:v>原資料のランク</x:v>
      </x:c>
      <x:c r="B23" s="6" t="str">
        <x:v>D</x:v>
      </x:c>
      <x:c r="C23" s="6" t="str">
        <x:v>当月0〜1点／翌月−2点。当月電話・翌月は関東対面／地方WEB。</x:v>
      </x:c>
    </x:row>
    <x:row r="24" ht="62" customHeight="1">
      <x:c r="A24" s="3" t="str">
        <x:v>原資料のランク</x:v>
      </x:c>
      <x:c r="B24" s="3" t="str">
        <x:v>E</x:v>
      </x:c>
      <x:c r="C24" s="3" t="str">
        <x:v>当月−1〜−3点／翌月−3〜−4点。個別営業介入なし、DMのみ。</x:v>
      </x:c>
    </x:row>
    <x:row r="25" ht="62" customHeight="1">
      <x:c r="A25" s="6" t="str">
        <x:v>原資料のランク</x:v>
      </x:c>
      <x:c r="B25" s="6" t="str">
        <x:v>対象・例外</x:v>
      </x:c>
      <x:c r="C25" s="6" t="str">
        <x:v>A・Bの電話は翌月17日時点未継続が対象。表にない点数は要確認。必要な問い合わせ・問題対応は別。</x:v>
      </x:c>
    </x:row>
    <x:row r="26" ht="62" customHeight="1">
      <x:c r="A26" s="3" t="str">
        <x:v>要確認</x:v>
      </x:c>
      <x:c r="B26" s="3" t="str">
        <x:v>掲載の単位</x:v>
      </x:c>
      <x:c r="C26" s="3" t="str">
        <x:v>PDFは「回」「日」「件」が混在。募集ID数・公開日数・仕事開始日数のどれを採点するか正式式と照合。</x:v>
      </x:c>
    </x:row>
    <x:row r="27" ht="62" customHeight="1">
      <x:c r="A27" s="6" t="str">
        <x:v>要確認</x:v>
      </x:c>
      <x:c r="B27" s="6" t="str">
        <x:v>掲載間隔</x:v>
      </x:c>
      <x:c r="C27" s="6" t="str">
        <x:v>「次の作成」と「最新の作成」が混在。M2の基準日・0日・15日以上の扱いを確定。根拠は4週目掲載の比較。</x:v>
      </x:c>
    </x:row>
    <x:row r="28" ht="62" customHeight="1">
      <x:c r="A28" s="3" t="str">
        <x:v>要確認</x:v>
      </x:c>
      <x:c r="B28" s="3" t="str">
        <x:v>配点の版</x:v>
      </x:c>
      <x:c r="C28" s="3" t="str">
        <x:v>PDF当月5回＋2、旧Excel＋1等。この資料は新しく提示されたPDF p.5の記載を主に整理。実装式は要照合。</x:v>
      </x:c>
    </x:row>
    <x:row r="29" ht="62" customHeight="1">
      <x:c r="A29" s="6" t="str">
        <x:v>要確認</x:v>
      </x:c>
      <x:c r="B29" s="6" t="str">
        <x:v>ランクの範囲</x:v>
      </x:c>
      <x:c r="C29" s="6" t="str">
        <x:v>当月6〜7点、翌月−1・3・−5点が表にない。合計可能範囲を網羅するランク表を担当者が確定。勝手に補完しない。</x:v>
      </x:c>
    </x:row>
    <x:row r="30" ht="62" customHeight="1">
      <x:c r="A30" s="3" t="str">
        <x:v>要確認</x:v>
      </x:c>
      <x:c r="B30" s="3" t="str">
        <x:v>ランク実績</x:v>
      </x:c>
      <x:c r="C30" s="3" t="str">
        <x:v>PDF p.9は母数1803と1680が混在。Eの実績41/55＝74.5%で低順位ではない。「A＞…＞E確認済み」とは説明しない。</x:v>
      </x:c>
    </x:row>
    <x:row r="31" ht="62" customHeight="1">
      <x:c r="A31" s="6" t="str">
        <x:v>要確認</x:v>
      </x:c>
      <x:c r="B31" s="6" t="str">
        <x:v>Badの根拠</x:v>
      </x:c>
      <x:c r="C31" s="6" t="str">
        <x:v>掲載量が異なる群の差29.1pt。Badあり・なしを同じ掲載量で比較する。原因・未評価・解決を分ける。</x:v>
      </x:c>
    </x:row>
    <x:row r="32" ht="62" customHeight="1">
      <x:c r="A32" s="3" t="str">
        <x:v>要確認</x:v>
      </x:c>
      <x:c r="B32" s="3" t="str">
        <x:v>初回時期</x:v>
      </x:c>
      <x:c r="C32" s="3" t="str">
        <x:v>月次61%と60日生存39.5%は別指標。同じ指標の時系列低下として扱わない。−2/−1の最適性は別途検証。</x:v>
      </x:c>
    </x:row>
    <x:row r="33" ht="62" customHeight="1">
      <x:c r="A33" s="6" t="str">
        <x:v>KPI案</x:v>
      </x:c>
      <x:c r="B33" s="6" t="str">
        <x:v>ONB完了率</x:v>
      </x:c>
      <x:c r="C33" s="6" t="str">
        <x:v>所定の観測日までに完了条件を満たした店舗数÷観測日が到来した対象店舗数。実稼働・自走再掲載・掲載習慣の組み合わせを検証して条件を決定。</x:v>
      </x:c>
    </x:row>
    <x:row r="34" ht="62" customHeight="1">
      <x:c r="A34" s="3" t="str">
        <x:v>KPI案</x:v>
      </x:c>
      <x:c r="B34" s="3" t="str">
        <x:v>初回体験フォロー完遂率</x:v>
      </x:c>
      <x:c r="C34" s="3" t="str">
        <x:v>期限内に体験確認・問題整理・次回確認まで終えた対象店舗数÷期限が到来した対象店舗数。勤務終了後2営業日以内は仮案。</x:v>
      </x:c>
    </x:row>
    <x:row r="35" ht="62" customHeight="1">
      <x:c r="A35" s="6" t="str">
        <x:v>KPI案</x:v>
      </x:c>
      <x:c r="B35" s="6" t="str">
        <x:v>再掲載支援完遂率</x:v>
      </x:c>
      <x:c r="C35" s="6" t="str">
        <x:v>期限内に次回業務・人数・稼働日・公開日まで確認できた店舗数÷支援対象として期限が到来した店舗数。約束と実際の公開を別記録。</x:v>
      </x:c>
    </x:row>
    <x:row r="36" ht="62" customHeight="1">
      <x:c r="A36" s="3" t="str">
        <x:v>KPI案</x:v>
      </x:c>
      <x:c r="B36" s="3" t="str">
        <x:v>問題対応完遂率</x:v>
      </x:c>
      <x:c r="C36" s="3" t="str">
        <x:v>期限内に原因別対応と結果確認を終えた店舗数÷対応期限が到来した店舗数。検知後2営業日は仮案。解決件数も別に見る。</x:v>
      </x:c>
    </x:row>
    <x:row r="37" ht="62" customHeight="1">
      <x:c r="A37" s="6" t="str">
        <x:v>KPI案</x:v>
      </x:c>
      <x:c r="B37" s="6" t="str">
        <x:v>共通ルール</x:v>
      </x:c>
      <x:c r="C37" s="6" t="str">
        <x:v>不通を分母から外さない。同一店舗への複数架電で加算しない。結果の継続率と行動の完遂率を分ける。</x:v>
      </x:c>
    </x:row>
    <x:row r="38" ht="62" customHeight="1">
      <x:c r="A38" s="3" t="str">
        <x:v>検証</x:v>
      </x:c>
      <x:c r="B38" s="3" t="str">
        <x:v>根拠から配点へ</x:v>
      </x:c>
      <x:c r="C38" s="3" t="str">
        <x:v>前の月で候補を選び後の月で再現を確認。現行の点だけの場合と比較。件数・日数・週数の重複を抑える。</x:v>
      </x:c>
    </x:row>
    <x:row r="39" ht="62" customHeight="1">
      <x:c r="A39" s="6" t="str">
        <x:v>検証</x:v>
      </x:c>
      <x:c r="B39" s="6" t="str">
        <x:v>効果検証</x:v>
      </x:c>
      <x:c r="C39" s="6" t="str">
        <x:v>初期状態が似た顧客で支援を比較し、将来継続・工数・ONB完了を確認。観測期間が未到来の顧客を失敗扱いしない。</x:v>
      </x:c>
    </x:row>
    <x:row r="40" ht="62" customHeight="1">
      <x:c r="A40" s="3" t="str">
        <x:v>出典</x:v>
      </x:c>
      <x:c r="B40" s="3" t="str">
        <x:v>現行PDF</x:v>
      </x:c>
      <x:c r="C40" s="3" t="str">
        <x:v>ONB スコアリング 施策概要 (1)(2).pdf p.3,5–10。配点の基準と定量図を確認。</x:v>
      </x:c>
    </x:row>
    <x:row r="41" ht="62" customHeight="1">
      <x:c r="A41" s="6" t="str">
        <x:v>出典</x:v>
      </x:c>
      <x:c r="B41" s="6" t="str">
        <x:v>旧設計書</x:v>
      </x:c>
      <x:c r="C41" s="6" t="str">
        <x:v>ONBスコアリング (1).xlsx ④根拠_数値ロジック。配点の旧案と最新PDFを区別。</x:v>
      </x:c>
    </x:row>
    <x:row r="42" ht="62" customHeight="1">
      <x:c r="A42" s="3" t="str">
        <x:v>出典</x:v>
      </x:c>
      <x:c r="B42" s="3" t="str">
        <x:v>G</x:v>
      </x:c>
      <x:c r="C42" s="3" t="str">
        <x:v>FY26_GrowthSquad_翌月継続率の探索分析 (1).pdf。2025年1〜9月初回掲載のLowTouch。Phase2は追加掲載ありを中心に分析。原典の継続窓は要照合。</x:v>
      </x:c>
    </x:row>
    <x:row r="43" ht="62" customHeight="1">
      <x:c r="A43" s="6" t="str">
        <x:v>出典</x:v>
      </x:c>
      <x:c r="B43" s="6" t="str">
        <x:v>P</x:v>
      </x:c>
      <x:c r="C43" s="6" t="str">
        <x:v>翌月継続率の構造化分析_Part2 (4).pdf。LowTouch。翌月継続は初回掲載から31〜60日。抽出期間・群別nは該当表に記載なし。</x:v>
      </x:c>
    </x:row>
    <x:row r="44" ht="62" customHeight="1">
      <x:c r="A44" s="3" t="str">
        <x:v>出典</x:v>
      </x:c>
      <x:c r="B44" s="3" t="str">
        <x:v>L</x:v>
      </x:c>
      <x:c r="C44" s="3" t="str">
        <x:v>[FY25 4Q]3ヶ月連続継続と中長期の継続に効くレバーの探索 (1).pdf。全体分析の初月募集数別比較。Low限定ではない。該当表の期間・群別nは未記載。</x:v>
      </x:c>
    </x:row>
    <x:row r="45" ht="62" customHeight="1">
      <x:c r="A45" s="6" t="str">
        <x:v>出典</x:v>
      </x:c>
      <x:c r="B45" s="6" t="str">
        <x:v>B</x:v>
      </x:c>
      <x:c r="C45" s="6" t="str">
        <x:v>翌月継続率_未達要因分析_2708.pdf。2026年7月初回掲載組、8月28日取得時点。暦月継続。資料内の分母差あり。</x:v>
      </x:c>
    </x:row>
    <x:row r="46" ht="62" customHeight="1">
      <x:c r="A46" s="3" t="str">
        <x:v>出典</x:v>
      </x:c>
      <x:c r="B46" s="3" t="str">
        <x:v>S</x:v>
      </x:c>
      <x:c r="C46" s="3" t="str">
        <x:v>プロセスKPI整理 (1).xlsx。既存候補の棚卸し。引用先の原典・現行の適用可否は未確認。</x:v>
      </x:c>
    </x:row>
    <x:row r="47" ht="62" customHeight="1">
      <x:c r="A47" s="6" t="str">
        <x:v>出典</x:v>
      </x:c>
      <x:c r="B47" s="6" t="str">
        <x:v>C</x:v>
      </x:c>
      <x:c r="C47" s="6" t="str">
        <x:v>ONB スコアリング 施策概要 (2).pdf。2026年9月PoC。当月・翌月各5項目。正式運用ロジックとの照合が必要。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FD1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2" hidden="0" customWidth="1"/>
    <x:col min="8" max="8" width="18" hidden="0" customWidth="1"/>
    <x:col min="9" max="9" width="75" hidden="0" customWidth="1"/>
  </x:cols>
  <x:sheetData>
    <x:row r="1" ht="34" customHeight="1">
      <x:c r="A1" s="5" t="str">
        <x:v>例（架空）</x:v>
      </x:c>
      <x:c r="B1" s="5" t="str">
        <x:v>2回目</x:v>
      </x:c>
      <x:c r="C1" s="5" t="str">
        <x:v>間隔</x:v>
      </x:c>
      <x:c r="D1" s="5" t="str">
        <x:v>5回以上</x:v>
      </x:c>
      <x:c r="E1" s="5" t="str">
        <x:v>ヨミ</x:v>
      </x:c>
      <x:c r="F1" s="5" t="str">
        <x:v>Bad</x:v>
      </x:c>
      <x:c r="G1" s="5" t="str">
        <x:v>合計</x:v>
      </x:c>
      <x:c r="H1" s="5" t="str">
        <x:v>原資料のランク</x:v>
      </x:c>
      <x:c r="I1" s="5" t="str">
        <x:v>解説</x:v>
      </x:c>
    </x:row>
    <x:row r="2" ht="75" customHeight="1">
      <x:c r="A2" s="3" t="str">
        <x:v>当月：2回・差5日・C・問題なし</x:v>
      </x:c>
      <x:c r="B2" s="20" t="n">
        <x:v>1</x:v>
      </x:c>
      <x:c r="C2" s="20" t="n">
        <x:v>2</x:v>
      </x:c>
      <x:c r="D2" s="20" t="n">
        <x:v>0</x:v>
      </x:c>
      <x:c r="E2" s="20" t="n">
        <x:v>-1</x:v>
      </x:c>
      <x:c r="F2" s="20" t="n">
        <x:v>0</x:v>
      </x:c>
      <x:c r="G2" s="10" t="n">
        <x:f>SUM(B2:F2)</x:f>
        <x:v>2</x:v>
      </x:c>
      <x:c r="H2" s="3" t="str">
        <x:v>C</x:v>
      </x:c>
      <x:c r="I2" s="3" t="str">
        <x:v>1＋2＋0−1＋0＝2点。Cなので当月電話。Cの分類は正式定義を前提。</x:v>
      </x:c>
    </x:row>
    <x:row r="3" ht="75" customHeight="1">
      <x:c r="A3" s="6" t="str">
        <x:v>当月：5回・差5日・A・問題なし</x:v>
      </x:c>
      <x:c r="B3" s="20" t="n">
        <x:v>1</x:v>
      </x:c>
      <x:c r="C3" s="20" t="n">
        <x:v>2</x:v>
      </x:c>
      <x:c r="D3" s="20" t="n">
        <x:v>2</x:v>
      </x:c>
      <x:c r="E3" s="20" t="n">
        <x:v>2</x:v>
      </x:c>
      <x:c r="F3" s="20" t="n">
        <x:v>0</x:v>
      </x:c>
      <x:c r="G3" s="11" t="n">
        <x:f>SUM(B3:F3)</x:f>
        <x:v>7</x:v>
      </x:c>
      <x:c r="H3" s="6" t="str">
        <x:v>要確認</x:v>
      </x:c>
      <x:c r="I3" s="6" t="str">
        <x:v>合計7点。PDFのA欄は5点のみ。5点以上と推測して補わない。</x:v>
      </x:c>
    </x:row>
    <x:row r="4" ht="75" customHeight="1">
      <x:c r="A4" s="8" t="str">
        <x:v>翌月例（架空）</x:v>
      </x:c>
      <x:c r="B4" s="12" t="str">
        <x:v>現在ヨミ</x:v>
      </x:c>
      <x:c r="C4" s="12" t="str">
        <x:v>C＋未接触</x:v>
      </x:c>
      <x:c r="D4" s="12" t="str">
        <x:v>初回時期</x:v>
      </x:c>
      <x:c r="E4" s="12" t="str">
        <x:v>前月5回</x:v>
      </x:c>
      <x:c r="F4" s="12" t="str">
        <x:v>Bad</x:v>
      </x:c>
      <x:c r="G4" s="12" t="str">
        <x:v>合計</x:v>
      </x:c>
      <x:c r="H4" s="8" t="str">
        <x:v>原資料のランク</x:v>
      </x:c>
      <x:c r="I4" s="8" t="str">
        <x:v>解説</x:v>
      </x:c>
    </x:row>
    <x:row r="5" ht="75" customHeight="1">
      <x:c r="A5" s="6" t="str">
        <x:v>9月未継続：B・8/15初回・前月5回</x:v>
      </x:c>
      <x:c r="B5" s="11" t="n">
        <x:v>1</x:v>
      </x:c>
      <x:c r="C5" s="11" t="n">
        <x:v>0</x:v>
      </x:c>
      <x:c r="D5" s="11" t="n">
        <x:v>-1</x:v>
      </x:c>
      <x:c r="E5" s="11" t="n">
        <x:v>1</x:v>
      </x:c>
      <x:c r="F5" s="11" t="n">
        <x:v>0</x:v>
      </x:c>
      <x:c r="G5" s="11" t="n">
        <x:f>SUM(B5:F5)</x:f>
        <x:v>1</x:v>
      </x:c>
      <x:c r="H5" s="6" t="str">
        <x:v>B</x:v>
      </x:c>
      <x:c r="I5" s="6" t="str">
        <x:v>1＋0−1＋1＋0＝1点。17日時点未継続なら電話。</x:v>
      </x:c>
    </x:row>
    <x:row r="6" ht="75" customHeight="1">
      <x:c r="A6" s="3" t="str">
        <x:v>9月未継続：A・8/25初回・前月5回</x:v>
      </x:c>
      <x:c r="B6" s="11" t="n">
        <x:v>2</x:v>
      </x:c>
      <x:c r="C6" s="11" t="n">
        <x:v>0</x:v>
      </x:c>
      <x:c r="D6" s="11" t="n">
        <x:v>0</x:v>
      </x:c>
      <x:c r="E6" s="11" t="n">
        <x:v>1</x:v>
      </x:c>
      <x:c r="F6" s="11" t="n">
        <x:v>0</x:v>
      </x:c>
      <x:c r="G6" s="10" t="n">
        <x:f>SUM(B6:F6)</x:f>
        <x:v>3</x:v>
      </x:c>
      <x:c r="H6" s="3" t="str">
        <x:v>要確認</x:v>
      </x:c>
      <x:c r="I6" s="3" t="str">
        <x:v>合計3点。原資料の翌月Aは2点のみ。正しい範囲を確認。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FFD1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30" hidden="0" customWidth="1"/>
    <x:col min="4" max="4" width="16" hidden="0" customWidth="1"/>
    <x:col min="5" max="5" width="16" hidden="0" customWidth="1"/>
    <x:col min="6" max="6" width="30" hidden="0" customWidth="1"/>
    <x:col min="7" max="7" width="62" hidden="0" customWidth="1"/>
    <x:col min="8" max="8" width="100" hidden="0" customWidth="1"/>
  </x:cols>
  <x:sheetData>
    <x:row r="1" ht="34" customHeight="1">
      <x:c r="A1" s="5" t="str">
        <x:v>グラフID</x:v>
      </x:c>
      <x:c r="B1" s="5" t="str">
        <x:v>区分</x:v>
      </x:c>
      <x:c r="C1" s="5" t="str">
        <x:v>系列</x:v>
      </x:c>
      <x:c r="D1" s="5" t="str">
        <x:v>割合</x:v>
      </x:c>
      <x:c r="E1" s="5" t="str">
        <x:v>母数n</x:v>
      </x:c>
      <x:c r="F1" s="5" t="str">
        <x:v>指標</x:v>
      </x:c>
      <x:c r="G1" s="5" t="str">
        <x:v>出典</x:v>
      </x:c>
      <x:c r="H1" s="5" t="str">
        <x:v>条件・注意</x:v>
      </x:c>
    </x:row>
    <x:row r="2" ht="75" customHeight="1">
      <x:c r="A2" s="18" t="str">
        <x:v>R01</x:v>
      </x:c>
      <x:c r="B2" s="18" t="str">
        <x:v>2回目あり</x:v>
      </x:c>
      <x:c r="C2" s="18" t="str">
        <x:v>翌月継続率</x:v>
      </x:c>
      <x:c r="D2" s="19" t="n">
        <x:v>0.69</x:v>
      </x:c>
      <x:c r="E2" s="18"/>
      <x:c r="F2" s="18" t="str">
        <x:v>翌月継続率</x:v>
      </x:c>
      <x:c r="G2" s="18" t="str">
        <x:v>旧設計書④ B4:D12／PoC PDF p.6</x:v>
      </x:c>
      <x:c r="H2" s="18" t="str">
        <x:v>2026年3〜6月初回。初回作成が20日以前。あり69〜75%の下限。群別n不明。</x:v>
      </x:c>
    </x:row>
    <x:row r="3" ht="75" customHeight="1">
      <x:c r="A3" s="6" t="str">
        <x:v>R01</x:v>
      </x:c>
      <x:c r="B3" s="6" t="str">
        <x:v>2回目なし</x:v>
      </x:c>
      <x:c r="C3" s="6" t="str">
        <x:v>翌月継続率</x:v>
      </x:c>
      <x:c r="D3" s="14" t="n">
        <x:v>0.052</x:v>
      </x:c>
      <x:c r="E3" s="6"/>
      <x:c r="F3" s="6" t="str">
        <x:v>翌月継続率</x:v>
      </x:c>
      <x:c r="G3" s="6" t="str">
        <x:v>旧設計書④ B4:D12／PoC PDF p.6</x:v>
      </x:c>
      <x:c r="H3" s="6" t="str">
        <x:v>2026年3〜6月初回。初回作成が20日以前。あり69〜75%の下限。群別n不明。</x:v>
      </x:c>
    </x:row>
    <x:row r="4" ht="75" customHeight="1">
      <x:c r="A4" s="18" t="str">
        <x:v>R02</x:v>
      </x:c>
      <x:c r="B4" s="18" t="str">
        <x:v>4週目も掲載</x:v>
      </x:c>
      <x:c r="C4" s="18" t="str">
        <x:v>31〜60日目の掲載率</x:v>
      </x:c>
      <x:c r="D4" s="19" t="n">
        <x:v>0.755</x:v>
      </x:c>
      <x:c r="E4" s="18"/>
      <x:c r="F4" s="18" t="str">
        <x:v>31〜60日目の掲載率</x:v>
      </x:c>
      <x:c r="G4" s="18" t="str">
        <x:v>旧設計書④ B14:D22</x:v>
      </x:c>
      <x:c r="H4" s="18" t="str">
        <x:v>2026年3〜5月初回・60日観測完了、n=7127。現行の1〜7日間隔の直接比較ではない。</x:v>
      </x:c>
    </x:row>
    <x:row r="5" ht="75" customHeight="1">
      <x:c r="A5" s="6" t="str">
        <x:v>R02</x:v>
      </x:c>
      <x:c r="B5" s="6" t="str">
        <x:v>初日まとめ・停止</x:v>
      </x:c>
      <x:c r="C5" s="6" t="str">
        <x:v>31〜60日目の掲載率</x:v>
      </x:c>
      <x:c r="D5" s="14" t="n">
        <x:v>0.244</x:v>
      </x:c>
      <x:c r="E5" s="6"/>
      <x:c r="F5" s="6" t="str">
        <x:v>31〜60日目の掲載率</x:v>
      </x:c>
      <x:c r="G5" s="6" t="str">
        <x:v>旧設計書④ B14:D22</x:v>
      </x:c>
      <x:c r="H5" s="6" t="str">
        <x:v>2026年3〜5月初回・60日観測完了、n=7127。現行の1〜7日間隔の直接比較ではない。</x:v>
      </x:c>
    </x:row>
    <x:row r="6" ht="75" customHeight="1">
      <x:c r="A6" s="18" t="str">
        <x:v>R02</x:v>
      </x:c>
      <x:c r="B6" s="18" t="str">
        <x:v>初回のみ</x:v>
      </x:c>
      <x:c r="C6" s="18" t="str">
        <x:v>31〜60日目の掲載率</x:v>
      </x:c>
      <x:c r="D6" s="19" t="n">
        <x:v>0.192</x:v>
      </x:c>
      <x:c r="E6" s="18"/>
      <x:c r="F6" s="18" t="str">
        <x:v>31〜60日目の掲載率</x:v>
      </x:c>
      <x:c r="G6" s="18" t="str">
        <x:v>旧設計書④ B14:D22</x:v>
      </x:c>
      <x:c r="H6" s="18" t="str">
        <x:v>2026年3〜5月初回・60日観測完了、n=7127。現行の1〜7日間隔の直接比較ではない。</x:v>
      </x:c>
    </x:row>
    <x:row r="7" ht="75" customHeight="1">
      <x:c r="A7" s="6" t="str">
        <x:v>R03</x:v>
      </x:c>
      <x:c r="B7" s="6" t="str">
        <x:v>2件</x:v>
      </x:c>
      <x:c r="C7" s="6" t="str">
        <x:v>翌月継続率</x:v>
      </x:c>
      <x:c r="D7" s="14" t="n">
        <x:v>0.69</x:v>
      </x:c>
      <x:c r="E7" s="6"/>
      <x:c r="F7" s="6" t="str">
        <x:v>翌月継続率</x:v>
      </x:c>
      <x:c r="G7" s="6" t="str">
        <x:v>旧設計書④ B24:D33／PoC PDF p.6</x:v>
      </x:c>
      <x:c r="H7" s="6" t="str">
        <x:v>既存資料の集約比較。2件と5件以上の対象期間・群別nは同条件で要照合。差7.1pt。</x:v>
      </x:c>
    </x:row>
    <x:row r="8" ht="75" customHeight="1">
      <x:c r="A8" s="18" t="str">
        <x:v>R03</x:v>
      </x:c>
      <x:c r="B8" s="18" t="str">
        <x:v>5件以上</x:v>
      </x:c>
      <x:c r="C8" s="18" t="str">
        <x:v>翌月継続率</x:v>
      </x:c>
      <x:c r="D8" s="19" t="n">
        <x:v>0.761</x:v>
      </x:c>
      <x:c r="E8" s="18"/>
      <x:c r="F8" s="18" t="str">
        <x:v>翌月継続率</x:v>
      </x:c>
      <x:c r="G8" s="18" t="str">
        <x:v>旧設計書④ B24:D33／PoC PDF p.6</x:v>
      </x:c>
      <x:c r="H8" s="18" t="str">
        <x:v>既存資料の集約比較。2件と5件以上の対象期間・群別nは同条件で要照合。差7.1pt。</x:v>
      </x:c>
    </x:row>
    <x:row r="9" ht="75" customHeight="1">
      <x:c r="A9" s="6" t="str">
        <x:v>R04</x:v>
      </x:c>
      <x:c r="B9" s="6" t="str">
        <x:v>A：日付合意</x:v>
      </x:c>
      <x:c r="C9" s="6" t="str">
        <x:v>翌月継続率</x:v>
      </x:c>
      <x:c r="D9" s="14" t="n">
        <x:v>0.933</x:v>
      </x:c>
      <x:c r="E9" s="6" t="n">
        <x:v>149</x:v>
      </x:c>
      <x:c r="F9" s="6" t="str">
        <x:v>翌月継続率</x:v>
      </x:c>
      <x:c r="G9" s="6" t="str">
        <x:v>旧設計書④ B35:D43／PoC PDF p.7</x:v>
      </x:c>
      <x:c r="H9" s="6" t="str">
        <x:v>7月新規・8月頭ヨミ。n=149/170/301。C＋の数値をC全体に置き換えない。</x:v>
      </x:c>
    </x:row>
    <x:row r="10" ht="75" customHeight="1">
      <x:c r="A10" s="18" t="str">
        <x:v>R04</x:v>
      </x:c>
      <x:c r="B10" s="18" t="str">
        <x:v>B：時期合意</x:v>
      </x:c>
      <x:c r="C10" s="18" t="str">
        <x:v>翌月継続率</x:v>
      </x:c>
      <x:c r="D10" s="19" t="n">
        <x:v>0.7</x:v>
      </x:c>
      <x:c r="E10" s="18" t="n">
        <x:v>170</x:v>
      </x:c>
      <x:c r="F10" s="18" t="str">
        <x:v>翌月継続率</x:v>
      </x:c>
      <x:c r="G10" s="18" t="str">
        <x:v>旧設計書④ B35:D43／PoC PDF p.7</x:v>
      </x:c>
      <x:c r="H10" s="18" t="str">
        <x:v>7月新規・8月頭ヨミ。n=149/170/301。C＋の数値をC全体に置き換えない。</x:v>
      </x:c>
    </x:row>
    <x:row r="11" ht="75" customHeight="1">
      <x:c r="A11" s="6" t="str">
        <x:v>R04</x:v>
      </x:c>
      <x:c r="B11" s="6" t="str">
        <x:v>C＋：検討中</x:v>
      </x:c>
      <x:c r="C11" s="6" t="str">
        <x:v>翌月継続率</x:v>
      </x:c>
      <x:c r="D11" s="14" t="n">
        <x:v>0.455</x:v>
      </x:c>
      <x:c r="E11" s="6" t="n">
        <x:v>301</x:v>
      </x:c>
      <x:c r="F11" s="6" t="str">
        <x:v>翌月継続率</x:v>
      </x:c>
      <x:c r="G11" s="6" t="str">
        <x:v>旧設計書④ B35:D43／PoC PDF p.7</x:v>
      </x:c>
      <x:c r="H11" s="6" t="str">
        <x:v>7月新規・8月頭ヨミ。n=149/170/301。C＋の数値をC全体に置き換えない。</x:v>
      </x:c>
    </x:row>
    <x:row r="12" ht="75" customHeight="1">
      <x:c r="A12" s="18" t="str">
        <x:v>R05</x:v>
      </x:c>
      <x:c r="B12" s="18" t="str">
        <x:v>暦月の翌月継続</x:v>
      </x:c>
      <x:c r="C12" s="18" t="str">
        <x:v>各指標の割合</x:v>
      </x:c>
      <x:c r="D12" s="19" t="n">
        <x:v>0.61</x:v>
      </x:c>
      <x:c r="E12" s="18"/>
      <x:c r="F12" s="18" t="str">
        <x:v>異なる判定窓の比較</x:v>
      </x:c>
      <x:c r="G12" s="18" t="str">
        <x:v>旧設計書④ B64:D72／PoC PDF p.7</x:v>
      </x:c>
      <x:c r="H12" s="18" t="str">
        <x:v>前月21日以降の初回層。−2/−1点の根拠ではなく、判定窓で結果が変わる参考。</x:v>
      </x:c>
    </x:row>
    <x:row r="13" ht="75" customHeight="1">
      <x:c r="A13" s="6" t="str">
        <x:v>R05</x:v>
      </x:c>
      <x:c r="B13" s="6" t="str">
        <x:v>60日生存</x:v>
      </x:c>
      <x:c r="C13" s="6" t="str">
        <x:v>各指標の割合</x:v>
      </x:c>
      <x:c r="D13" s="14" t="n">
        <x:v>0.395</x:v>
      </x:c>
      <x:c r="E13" s="6"/>
      <x:c r="F13" s="6" t="str">
        <x:v>異なる判定窓の比較</x:v>
      </x:c>
      <x:c r="G13" s="6" t="str">
        <x:v>旧設計書④ B64:D72／PoC PDF p.7</x:v>
      </x:c>
      <x:c r="H13" s="6" t="str">
        <x:v>前月21日以降の初回層。−2/−1点の根拠ではなく、判定窓で結果が変わる参考。</x:v>
      </x:c>
    </x:row>
    <x:row r="14" ht="75" customHeight="1">
      <x:c r="A14" s="18" t="str">
        <x:v>G01</x:v>
      </x:c>
      <x:c r="B14" s="18" t="str">
        <x:v>1日</x:v>
      </x:c>
      <x:c r="C14" s="18" t="str">
        <x:v>翌月継続率</x:v>
      </x:c>
      <x:c r="D14" s="19" t="n">
        <x:v>0.198</x:v>
      </x:c>
      <x:c r="E14" s="18"/>
      <x:c r="F14" s="18" t="str">
        <x:v>翌月継続率</x:v>
      </x:c>
      <x:c r="G14" s="18" t="str">
        <x:v>GrowthSquad探索分析 p.25</x:v>
      </x:c>
      <x:c r="H14" s="18" t="str">
        <x:v>仕事開始日の重複を除いた日数。公開日数ではない。1〜10日の範囲を抜粋。4日は50.0%。群別nは未転記。</x:v>
      </x:c>
    </x:row>
    <x:row r="15" ht="75" customHeight="1">
      <x:c r="A15" s="6" t="str">
        <x:v>G01</x:v>
      </x:c>
      <x:c r="B15" s="6" t="str">
        <x:v>2日</x:v>
      </x:c>
      <x:c r="C15" s="6" t="str">
        <x:v>翌月継続率</x:v>
      </x:c>
      <x:c r="D15" s="14" t="n">
        <x:v>0.319</x:v>
      </x:c>
      <x:c r="E15" s="6"/>
      <x:c r="F15" s="6" t="str">
        <x:v>翌月継続率</x:v>
      </x:c>
      <x:c r="G15" s="6" t="str">
        <x:v>GrowthSquad探索分析 p.25</x:v>
      </x:c>
      <x:c r="H15" s="6" t="str">
        <x:v>仕事開始日の重複を除いた日数。公開日数ではない。1〜10日の範囲を抜粋。4日は50.0%。群別nは未転記。</x:v>
      </x:c>
    </x:row>
    <x:row r="16" ht="75" customHeight="1">
      <x:c r="A16" s="18" t="str">
        <x:v>G01</x:v>
      </x:c>
      <x:c r="B16" s="18" t="str">
        <x:v>3日</x:v>
      </x:c>
      <x:c r="C16" s="18" t="str">
        <x:v>翌月継続率</x:v>
      </x:c>
      <x:c r="D16" s="19" t="n">
        <x:v>0.419</x:v>
      </x:c>
      <x:c r="E16" s="18"/>
      <x:c r="F16" s="18" t="str">
        <x:v>翌月継続率</x:v>
      </x:c>
      <x:c r="G16" s="18" t="str">
        <x:v>GrowthSquad探索分析 p.25</x:v>
      </x:c>
      <x:c r="H16" s="18" t="str">
        <x:v>仕事開始日の重複を除いた日数。公開日数ではない。1〜10日の範囲を抜粋。4日は50.0%。群別nは未転記。</x:v>
      </x:c>
    </x:row>
    <x:row r="17" ht="75" customHeight="1">
      <x:c r="A17" s="6" t="str">
        <x:v>G01</x:v>
      </x:c>
      <x:c r="B17" s="6" t="str">
        <x:v>4日</x:v>
      </x:c>
      <x:c r="C17" s="6" t="str">
        <x:v>翌月継続率</x:v>
      </x:c>
      <x:c r="D17" s="14" t="n">
        <x:v>0.5</x:v>
      </x:c>
      <x:c r="E17" s="6"/>
      <x:c r="F17" s="6" t="str">
        <x:v>翌月継続率</x:v>
      </x:c>
      <x:c r="G17" s="6" t="str">
        <x:v>GrowthSquad探索分析 p.25</x:v>
      </x:c>
      <x:c r="H17" s="6" t="str">
        <x:v>仕事開始日の重複を除いた日数。公開日数ではない。1〜10日の範囲を抜粋。4日は50.0%。群別nは未転記。</x:v>
      </x:c>
    </x:row>
    <x:row r="18" ht="75" customHeight="1">
      <x:c r="A18" s="18" t="str">
        <x:v>G01</x:v>
      </x:c>
      <x:c r="B18" s="18" t="str">
        <x:v>5日</x:v>
      </x:c>
      <x:c r="C18" s="18" t="str">
        <x:v>翌月継続率</x:v>
      </x:c>
      <x:c r="D18" s="19" t="n">
        <x:v>0.535</x:v>
      </x:c>
      <x:c r="E18" s="18"/>
      <x:c r="F18" s="18" t="str">
        <x:v>翌月継続率</x:v>
      </x:c>
      <x:c r="G18" s="18" t="str">
        <x:v>GrowthSquad探索分析 p.25</x:v>
      </x:c>
      <x:c r="H18" s="18" t="str">
        <x:v>仕事開始日の重複を除いた日数。公開日数ではない。1〜10日の範囲を抜粋。4日は50.0%。群別nは未転記。</x:v>
      </x:c>
    </x:row>
    <x:row r="19" ht="75" customHeight="1">
      <x:c r="A19" s="6" t="str">
        <x:v>G01</x:v>
      </x:c>
      <x:c r="B19" s="6" t="str">
        <x:v>6日</x:v>
      </x:c>
      <x:c r="C19" s="6" t="str">
        <x:v>翌月継続率</x:v>
      </x:c>
      <x:c r="D19" s="14" t="n">
        <x:v>0.598</x:v>
      </x:c>
      <x:c r="E19" s="6"/>
      <x:c r="F19" s="6" t="str">
        <x:v>翌月継続率</x:v>
      </x:c>
      <x:c r="G19" s="6" t="str">
        <x:v>GrowthSquad探索分析 p.25</x:v>
      </x:c>
      <x:c r="H19" s="6" t="str">
        <x:v>仕事開始日の重複を除いた日数。公開日数ではない。1〜10日の範囲を抜粋。4日は50.0%。群別nは未転記。</x:v>
      </x:c>
    </x:row>
    <x:row r="20" ht="75" customHeight="1">
      <x:c r="A20" s="18" t="str">
        <x:v>G01</x:v>
      </x:c>
      <x:c r="B20" s="18" t="str">
        <x:v>7日</x:v>
      </x:c>
      <x:c r="C20" s="18" t="str">
        <x:v>翌月継続率</x:v>
      </x:c>
      <x:c r="D20" s="19" t="n">
        <x:v>0.635</x:v>
      </x:c>
      <x:c r="E20" s="18"/>
      <x:c r="F20" s="18" t="str">
        <x:v>翌月継続率</x:v>
      </x:c>
      <x:c r="G20" s="18" t="str">
        <x:v>GrowthSquad探索分析 p.25</x:v>
      </x:c>
      <x:c r="H20" s="18" t="str">
        <x:v>仕事開始日の重複を除いた日数。公開日数ではない。1〜10日の範囲を抜粋。4日は50.0%。群別nは未転記。</x:v>
      </x:c>
    </x:row>
    <x:row r="21" ht="75" customHeight="1">
      <x:c r="A21" s="6" t="str">
        <x:v>G01</x:v>
      </x:c>
      <x:c r="B21" s="6" t="str">
        <x:v>8日</x:v>
      </x:c>
      <x:c r="C21" s="6" t="str">
        <x:v>翌月継続率</x:v>
      </x:c>
      <x:c r="D21" s="14" t="n">
        <x:v>0.627</x:v>
      </x:c>
      <x:c r="E21" s="6"/>
      <x:c r="F21" s="6" t="str">
        <x:v>翌月継続率</x:v>
      </x:c>
      <x:c r="G21" s="6" t="str">
        <x:v>GrowthSquad探索分析 p.25</x:v>
      </x:c>
      <x:c r="H21" s="6" t="str">
        <x:v>仕事開始日の重複を除いた日数。公開日数ではない。1〜10日の範囲を抜粋。4日は50.0%。群別nは未転記。</x:v>
      </x:c>
    </x:row>
    <x:row r="22" ht="75" customHeight="1">
      <x:c r="A22" s="18" t="str">
        <x:v>G01</x:v>
      </x:c>
      <x:c r="B22" s="18" t="str">
        <x:v>9日</x:v>
      </x:c>
      <x:c r="C22" s="18" t="str">
        <x:v>翌月継続率</x:v>
      </x:c>
      <x:c r="D22" s="19" t="n">
        <x:v>0.675</x:v>
      </x:c>
      <x:c r="E22" s="18"/>
      <x:c r="F22" s="18" t="str">
        <x:v>翌月継続率</x:v>
      </x:c>
      <x:c r="G22" s="18" t="str">
        <x:v>GrowthSquad探索分析 p.25</x:v>
      </x:c>
      <x:c r="H22" s="18" t="str">
        <x:v>仕事開始日の重複を除いた日数。公開日数ではない。1〜10日の範囲を抜粋。4日は50.0%。群別nは未転記。</x:v>
      </x:c>
    </x:row>
    <x:row r="23" ht="75" customHeight="1">
      <x:c r="A23" s="6" t="str">
        <x:v>G01</x:v>
      </x:c>
      <x:c r="B23" s="6" t="str">
        <x:v>10日</x:v>
      </x:c>
      <x:c r="C23" s="6" t="str">
        <x:v>翌月継続率</x:v>
      </x:c>
      <x:c r="D23" s="14" t="n">
        <x:v>0.707</x:v>
      </x:c>
      <x:c r="E23" s="6"/>
      <x:c r="F23" s="6" t="str">
        <x:v>翌月継続率</x:v>
      </x:c>
      <x:c r="G23" s="6" t="str">
        <x:v>GrowthSquad探索分析 p.25</x:v>
      </x:c>
      <x:c r="H23" s="6" t="str">
        <x:v>仕事開始日の重複を除いた日数。公開日数ではない。1〜10日の範囲を抜粋。4日は50.0%。群別nは未転記。</x:v>
      </x:c>
    </x:row>
    <x:row r="24" ht="75" customHeight="1">
      <x:c r="A24" s="18" t="str">
        <x:v>G02</x:v>
      </x:c>
      <x:c r="B24" s="18" t="str">
        <x:v>2週のみ</x:v>
      </x:c>
      <x:c r="C24" s="18" t="str">
        <x:v>翌月継続率</x:v>
      </x:c>
      <x:c r="D24" s="19" t="n">
        <x:v>0.38</x:v>
      </x:c>
      <x:c r="E24" s="18"/>
      <x:c r="F24" s="18" t="str">
        <x:v>31〜60日目の継続率</x:v>
      </x:c>
      <x:c r="G24" s="18" t="str">
        <x:v>構造化分析 Part2 p.14</x:v>
      </x:c>
      <x:c r="H24" s="18" t="str">
        <x:v>全群で初週掲載あり。横軸は初週以降の掲載週。実験効果ではなく掲載パターン別比較。群別n未記載。</x:v>
      </x:c>
    </x:row>
    <x:row r="25" ht="75" customHeight="1">
      <x:c r="A25" s="6" t="str">
        <x:v>G02</x:v>
      </x:c>
      <x:c r="B25" s="6" t="str">
        <x:v>2・3週</x:v>
      </x:c>
      <x:c r="C25" s="6" t="str">
        <x:v>翌月継続率</x:v>
      </x:c>
      <x:c r="D25" s="14" t="n">
        <x:v>0.58</x:v>
      </x:c>
      <x:c r="E25" s="6"/>
      <x:c r="F25" s="6" t="str">
        <x:v>31〜60日目の継続率</x:v>
      </x:c>
      <x:c r="G25" s="6" t="str">
        <x:v>構造化分析 Part2 p.14</x:v>
      </x:c>
      <x:c r="H25" s="6" t="str">
        <x:v>全群で初週掲載あり。横軸は初週以降の掲載週。実験効果ではなく掲載パターン別比較。群別n未記載。</x:v>
      </x:c>
    </x:row>
    <x:row r="26" ht="75" customHeight="1">
      <x:c r="A26" s="18" t="str">
        <x:v>G02</x:v>
      </x:c>
      <x:c r="B26" s="18" t="str">
        <x:v>2・4週</x:v>
      </x:c>
      <x:c r="C26" s="18" t="str">
        <x:v>翌月継続率</x:v>
      </x:c>
      <x:c r="D26" s="19" t="n">
        <x:v>0.75</x:v>
      </x:c>
      <x:c r="E26" s="18"/>
      <x:c r="F26" s="18" t="str">
        <x:v>31〜60日目の継続率</x:v>
      </x:c>
      <x:c r="G26" s="18" t="str">
        <x:v>構造化分析 Part2 p.14</x:v>
      </x:c>
      <x:c r="H26" s="18" t="str">
        <x:v>全群で初週掲載あり。横軸は初週以降の掲載週。実験効果ではなく掲載パターン別比較。群別n未記載。</x:v>
      </x:c>
    </x:row>
    <x:row r="27" ht="75" customHeight="1">
      <x:c r="A27" s="6" t="str">
        <x:v>G02</x:v>
      </x:c>
      <x:c r="B27" s="6" t="str">
        <x:v>2・3・4週</x:v>
      </x:c>
      <x:c r="C27" s="6" t="str">
        <x:v>翌月継続率</x:v>
      </x:c>
      <x:c r="D27" s="14" t="n">
        <x:v>0.87</x:v>
      </x:c>
      <x:c r="E27" s="6"/>
      <x:c r="F27" s="6" t="str">
        <x:v>31〜60日目の継続率</x:v>
      </x:c>
      <x:c r="G27" s="6" t="str">
        <x:v>構造化分析 Part2 p.14</x:v>
      </x:c>
      <x:c r="H27" s="6" t="str">
        <x:v>全群で初週掲載あり。横軸は初週以降の掲載週。実験効果ではなく掲載パターン別比較。群別n未記載。</x:v>
      </x:c>
    </x:row>
    <x:row r="28" ht="75" customHeight="1">
      <x:c r="A28" s="18" t="str">
        <x:v>G02</x:v>
      </x:c>
      <x:c r="B28" s="18" t="str">
        <x:v>3週のみ</x:v>
      </x:c>
      <x:c r="C28" s="18" t="str">
        <x:v>翌月継続率</x:v>
      </x:c>
      <x:c r="D28" s="19" t="n">
        <x:v>0.51</x:v>
      </x:c>
      <x:c r="E28" s="18"/>
      <x:c r="F28" s="18" t="str">
        <x:v>31〜60日目の継続率</x:v>
      </x:c>
      <x:c r="G28" s="18" t="str">
        <x:v>構造化分析 Part2 p.14</x:v>
      </x:c>
      <x:c r="H28" s="18" t="str">
        <x:v>全群で初週掲載あり。横軸は初週以降の掲載週。実験効果ではなく掲載パターン別比較。群別n未記載。</x:v>
      </x:c>
    </x:row>
    <x:row r="29" ht="75" customHeight="1">
      <x:c r="A29" s="6" t="str">
        <x:v>G02</x:v>
      </x:c>
      <x:c r="B29" s="6" t="str">
        <x:v>4週のみ</x:v>
      </x:c>
      <x:c r="C29" s="6" t="str">
        <x:v>翌月継続率</x:v>
      </x:c>
      <x:c r="D29" s="14" t="n">
        <x:v>0.62</x:v>
      </x:c>
      <x:c r="E29" s="6"/>
      <x:c r="F29" s="6" t="str">
        <x:v>31〜60日目の継続率</x:v>
      </x:c>
      <x:c r="G29" s="6" t="str">
        <x:v>構造化分析 Part2 p.14</x:v>
      </x:c>
      <x:c r="H29" s="6" t="str">
        <x:v>全群で初週掲載あり。横軸は初週以降の掲載週。実験効果ではなく掲載パターン別比較。群別n未記載。</x:v>
      </x:c>
    </x:row>
    <x:row r="30" ht="75" customHeight="1">
      <x:c r="A30" s="18" t="str">
        <x:v>G02</x:v>
      </x:c>
      <x:c r="B30" s="18" t="str">
        <x:v>3・4週</x:v>
      </x:c>
      <x:c r="C30" s="18" t="str">
        <x:v>翌月継続率</x:v>
      </x:c>
      <x:c r="D30" s="19" t="n">
        <x:v>0.79</x:v>
      </x:c>
      <x:c r="E30" s="18"/>
      <x:c r="F30" s="18" t="str">
        <x:v>31〜60日目の継続率</x:v>
      </x:c>
      <x:c r="G30" s="18" t="str">
        <x:v>構造化分析 Part2 p.14</x:v>
      </x:c>
      <x:c r="H30" s="18" t="str">
        <x:v>全群で初週掲載あり。横軸は初週以降の掲載週。実験効果ではなく掲載パターン別比較。群別n未記載。</x:v>
      </x:c>
    </x:row>
    <x:row r="31" ht="75" customHeight="1">
      <x:c r="A31" s="6" t="str">
        <x:v>G02</x:v>
      </x:c>
      <x:c r="B31" s="6" t="str">
        <x:v>追加週なし</x:v>
      </x:c>
      <x:c r="C31" s="6" t="str">
        <x:v>翌月継続率</x:v>
      </x:c>
      <x:c r="D31" s="14" t="n">
        <x:v>0.16</x:v>
      </x:c>
      <x:c r="E31" s="6"/>
      <x:c r="F31" s="6" t="str">
        <x:v>31〜60日目の継続率</x:v>
      </x:c>
      <x:c r="G31" s="6" t="str">
        <x:v>構造化分析 Part2 p.14</x:v>
      </x:c>
      <x:c r="H31" s="6" t="str">
        <x:v>全群で初週掲載あり。横軸は初週以降の掲載週。実験効果ではなく掲載パターン別比較。群別n未記載。</x:v>
      </x:c>
    </x:row>
    <x:row r="32" ht="75" customHeight="1">
      <x:c r="A32" s="18" t="str">
        <x:v>G03</x:v>
      </x:c>
      <x:c r="B32" s="18" t="str">
        <x:v>緊急・単発</x:v>
      </x:c>
      <x:c r="C32" s="18" t="str">
        <x:v>Goodあり</x:v>
      </x:c>
      <x:c r="D32" s="19" t="n">
        <x:v>0.689</x:v>
      </x:c>
      <x:c r="E32" s="18" t="n">
        <x:v>2221</x:v>
      </x:c>
      <x:c r="F32" s="18" t="str">
        <x:v>追加掲載率</x:v>
      </x:c>
      <x:c r="G32" s="18" t="str">
        <x:v>GrowthSquad探索分析 p.20</x:v>
      </x:c>
      <x:c r="H32" s="18" t="str">
        <x:v>企業からワーカーへの評価。稼働あり店舗を比較。Goodなしには未評価を含む。評価の強制は行わない。</x:v>
      </x:c>
    </x:row>
    <x:row r="33" ht="75" customHeight="1">
      <x:c r="A33" s="6" t="str">
        <x:v>G03</x:v>
      </x:c>
      <x:c r="B33" s="6" t="str">
        <x:v>緊急・一括</x:v>
      </x:c>
      <x:c r="C33" s="6" t="str">
        <x:v>Goodあり</x:v>
      </x:c>
      <x:c r="D33" s="14" t="n">
        <x:v>0.763</x:v>
      </x:c>
      <x:c r="E33" s="6" t="n">
        <x:v>1243</x:v>
      </x:c>
      <x:c r="F33" s="6" t="str">
        <x:v>追加掲載率</x:v>
      </x:c>
      <x:c r="G33" s="6" t="str">
        <x:v>GrowthSquad探索分析 p.20</x:v>
      </x:c>
      <x:c r="H33" s="6" t="str">
        <x:v>企業からワーカーへの評価。稼働あり店舗を比較。Goodなしには未評価を含む。評価の強制は行わない。</x:v>
      </x:c>
    </x:row>
    <x:row r="34" ht="75" customHeight="1">
      <x:c r="A34" s="18" t="str">
        <x:v>G03</x:v>
      </x:c>
      <x:c r="B34" s="18" t="str">
        <x:v>計画・単発</x:v>
      </x:c>
      <x:c r="C34" s="18" t="str">
        <x:v>Goodあり</x:v>
      </x:c>
      <x:c r="D34" s="19" t="n">
        <x:v>0.558</x:v>
      </x:c>
      <x:c r="E34" s="18" t="n">
        <x:v>6728</x:v>
      </x:c>
      <x:c r="F34" s="18" t="str">
        <x:v>追加掲載率</x:v>
      </x:c>
      <x:c r="G34" s="18" t="str">
        <x:v>GrowthSquad探索分析 p.20</x:v>
      </x:c>
      <x:c r="H34" s="18" t="str">
        <x:v>企業からワーカーへの評価。稼働あり店舗を比較。Goodなしには未評価を含む。評価の強制は行わない。</x:v>
      </x:c>
    </x:row>
    <x:row r="35" ht="75" customHeight="1">
      <x:c r="A35" s="6" t="str">
        <x:v>G03</x:v>
      </x:c>
      <x:c r="B35" s="6" t="str">
        <x:v>計画・一括</x:v>
      </x:c>
      <x:c r="C35" s="6" t="str">
        <x:v>Goodあり</x:v>
      </x:c>
      <x:c r="D35" s="14" t="n">
        <x:v>0.588</x:v>
      </x:c>
      <x:c r="E35" s="6" t="n">
        <x:v>4321</x:v>
      </x:c>
      <x:c r="F35" s="6" t="str">
        <x:v>追加掲載率</x:v>
      </x:c>
      <x:c r="G35" s="6" t="str">
        <x:v>GrowthSquad探索分析 p.20</x:v>
      </x:c>
      <x:c r="H35" s="6" t="str">
        <x:v>企業からワーカーへの評価。稼働あり店舗を比較。Goodなしには未評価を含む。評価の強制は行わない。</x:v>
      </x:c>
    </x:row>
    <x:row r="36" ht="75" customHeight="1">
      <x:c r="A36" s="18" t="str">
        <x:v>G03</x:v>
      </x:c>
      <x:c r="B36" s="18" t="str">
        <x:v>緊急・単発</x:v>
      </x:c>
      <x:c r="C36" s="18" t="str">
        <x:v>Goodなし</x:v>
      </x:c>
      <x:c r="D36" s="19" t="n">
        <x:v>0.442</x:v>
      </x:c>
      <x:c r="E36" s="18" t="n">
        <x:v>425</x:v>
      </x:c>
      <x:c r="F36" s="18" t="str">
        <x:v>追加掲載率</x:v>
      </x:c>
      <x:c r="G36" s="18" t="str">
        <x:v>GrowthSquad探索分析 p.20</x:v>
      </x:c>
      <x:c r="H36" s="18" t="str">
        <x:v>企業からワーカーへの評価。稼働あり店舗を比較。Goodなしには未評価を含む。評価の強制は行わない。</x:v>
      </x:c>
    </x:row>
    <x:row r="37" ht="75" customHeight="1">
      <x:c r="A37" s="6" t="str">
        <x:v>G03</x:v>
      </x:c>
      <x:c r="B37" s="6" t="str">
        <x:v>緊急・一括</x:v>
      </x:c>
      <x:c r="C37" s="6" t="str">
        <x:v>Goodなし</x:v>
      </x:c>
      <x:c r="D37" s="14" t="n">
        <x:v>0.559</x:v>
      </x:c>
      <x:c r="E37" s="6" t="n">
        <x:v>136</x:v>
      </x:c>
      <x:c r="F37" s="6" t="str">
        <x:v>追加掲載率</x:v>
      </x:c>
      <x:c r="G37" s="6" t="str">
        <x:v>GrowthSquad探索分析 p.20</x:v>
      </x:c>
      <x:c r="H37" s="6" t="str">
        <x:v>企業からワーカーへの評価。稼働あり店舗を比較。Goodなしには未評価を含む。評価の強制は行わない。</x:v>
      </x:c>
    </x:row>
    <x:row r="38" ht="75" customHeight="1">
      <x:c r="A38" s="18" t="str">
        <x:v>G03</x:v>
      </x:c>
      <x:c r="B38" s="18" t="str">
        <x:v>計画・単発</x:v>
      </x:c>
      <x:c r="C38" s="18" t="str">
        <x:v>Goodなし</x:v>
      </x:c>
      <x:c r="D38" s="19" t="n">
        <x:v>0.28</x:v>
      </x:c>
      <x:c r="E38" s="18" t="n">
        <x:v>991</x:v>
      </x:c>
      <x:c r="F38" s="18" t="str">
        <x:v>追加掲載率</x:v>
      </x:c>
      <x:c r="G38" s="18" t="str">
        <x:v>GrowthSquad探索分析 p.20</x:v>
      </x:c>
      <x:c r="H38" s="18" t="str">
        <x:v>企業からワーカーへの評価。稼働あり店舗を比較。Goodなしには未評価を含む。評価の強制は行わない。</x:v>
      </x:c>
    </x:row>
    <x:row r="39" ht="75" customHeight="1">
      <x:c r="A39" s="6" t="str">
        <x:v>G03</x:v>
      </x:c>
      <x:c r="B39" s="6" t="str">
        <x:v>計画・一括</x:v>
      </x:c>
      <x:c r="C39" s="6" t="str">
        <x:v>Goodなし</x:v>
      </x:c>
      <x:c r="D39" s="14" t="n">
        <x:v>0.373</x:v>
      </x:c>
      <x:c r="E39" s="6" t="n">
        <x:v>474</x:v>
      </x:c>
      <x:c r="F39" s="6" t="str">
        <x:v>追加掲載率</x:v>
      </x:c>
      <x:c r="G39" s="6" t="str">
        <x:v>GrowthSquad探索分析 p.20</x:v>
      </x:c>
      <x:c r="H39" s="6" t="str">
        <x:v>企業からワーカーへの評価。稼働あり店舗を比較。Goodなしには未評価を含む。評価の強制は行わない。</x:v>
      </x:c>
    </x:row>
    <x:row r="40" ht="75" customHeight="1">
      <x:c r="A40" s="18" t="str">
        <x:v>G04</x:v>
      </x:c>
      <x:c r="B40" s="18" t="str">
        <x:v>緊急・単発</x:v>
      </x:c>
      <x:c r="C40" s="18" t="str">
        <x:v>稼働あり</x:v>
      </x:c>
      <x:c r="D40" s="19" t="n">
        <x:v>0.649</x:v>
      </x:c>
      <x:c r="E40" s="18" t="n">
        <x:v>2646</x:v>
      </x:c>
      <x:c r="F40" s="18" t="str">
        <x:v>追加掲載率</x:v>
      </x:c>
      <x:c r="G40" s="18" t="str">
        <x:v>GrowthSquad探索分析 p.17</x:v>
      </x:c>
      <x:c r="H40" s="18" t="str">
        <x:v>初回の仕事開始日の募集で1人でも実稼働すれば「あり」。マッチング成立とは別。</x:v>
      </x:c>
    </x:row>
    <x:row r="41" ht="75" customHeight="1">
      <x:c r="A41" s="6" t="str">
        <x:v>G04</x:v>
      </x:c>
      <x:c r="B41" s="6" t="str">
        <x:v>緊急・一括</x:v>
      </x:c>
      <x:c r="C41" s="6" t="str">
        <x:v>稼働あり</x:v>
      </x:c>
      <x:c r="D41" s="14" t="n">
        <x:v>0.743</x:v>
      </x:c>
      <x:c r="E41" s="6" t="n">
        <x:v>1379</x:v>
      </x:c>
      <x:c r="F41" s="6" t="str">
        <x:v>追加掲載率</x:v>
      </x:c>
      <x:c r="G41" s="6" t="str">
        <x:v>GrowthSquad探索分析 p.17</x:v>
      </x:c>
      <x:c r="H41" s="6" t="str">
        <x:v>初回の仕事開始日の募集で1人でも実稼働すれば「あり」。マッチング成立とは別。</x:v>
      </x:c>
    </x:row>
    <x:row r="42" ht="75" customHeight="1">
      <x:c r="A42" s="18" t="str">
        <x:v>G04</x:v>
      </x:c>
      <x:c r="B42" s="18" t="str">
        <x:v>計画・単発</x:v>
      </x:c>
      <x:c r="C42" s="18" t="str">
        <x:v>稼働あり</x:v>
      </x:c>
      <x:c r="D42" s="19" t="n">
        <x:v>0.521</x:v>
      </x:c>
      <x:c r="E42" s="18" t="n">
        <x:v>7719</x:v>
      </x:c>
      <x:c r="F42" s="18" t="str">
        <x:v>追加掲載率</x:v>
      </x:c>
      <x:c r="G42" s="18" t="str">
        <x:v>GrowthSquad探索分析 p.17</x:v>
      </x:c>
      <x:c r="H42" s="18" t="str">
        <x:v>初回の仕事開始日の募集で1人でも実稼働すれば「あり」。マッチング成立とは別。</x:v>
      </x:c>
    </x:row>
    <x:row r="43" ht="75" customHeight="1">
      <x:c r="A43" s="6" t="str">
        <x:v>G04</x:v>
      </x:c>
      <x:c r="B43" s="6" t="str">
        <x:v>計画・一括</x:v>
      </x:c>
      <x:c r="C43" s="6" t="str">
        <x:v>稼働あり</x:v>
      </x:c>
      <x:c r="D43" s="14" t="n">
        <x:v>0.567</x:v>
      </x:c>
      <x:c r="E43" s="6" t="n">
        <x:v>4795</x:v>
      </x:c>
      <x:c r="F43" s="6" t="str">
        <x:v>追加掲載率</x:v>
      </x:c>
      <x:c r="G43" s="6" t="str">
        <x:v>GrowthSquad探索分析 p.17</x:v>
      </x:c>
      <x:c r="H43" s="6" t="str">
        <x:v>初回の仕事開始日の募集で1人でも実稼働すれば「あり」。マッチング成立とは別。</x:v>
      </x:c>
    </x:row>
    <x:row r="44" ht="75" customHeight="1">
      <x:c r="A44" s="18" t="str">
        <x:v>G04</x:v>
      </x:c>
      <x:c r="B44" s="18" t="str">
        <x:v>緊急・単発</x:v>
      </x:c>
      <x:c r="C44" s="18" t="str">
        <x:v>稼働なし</x:v>
      </x:c>
      <x:c r="D44" s="19" t="n">
        <x:v>0.48</x:v>
      </x:c>
      <x:c r="E44" s="18" t="n">
        <x:v>737</x:v>
      </x:c>
      <x:c r="F44" s="18" t="str">
        <x:v>追加掲載率</x:v>
      </x:c>
      <x:c r="G44" s="18" t="str">
        <x:v>GrowthSquad探索分析 p.17</x:v>
      </x:c>
      <x:c r="H44" s="18" t="str">
        <x:v>初回の仕事開始日の募集で1人でも実稼働すれば「あり」。マッチング成立とは別。</x:v>
      </x:c>
    </x:row>
    <x:row r="45" ht="75" customHeight="1">
      <x:c r="A45" s="6" t="str">
        <x:v>G04</x:v>
      </x:c>
      <x:c r="B45" s="6" t="str">
        <x:v>緊急・一括</x:v>
      </x:c>
      <x:c r="C45" s="6" t="str">
        <x:v>稼働なし</x:v>
      </x:c>
      <x:c r="D45" s="14" t="n">
        <x:v>0.623</x:v>
      </x:c>
      <x:c r="E45" s="6" t="n">
        <x:v>536</x:v>
      </x:c>
      <x:c r="F45" s="6" t="str">
        <x:v>追加掲載率</x:v>
      </x:c>
      <x:c r="G45" s="6" t="str">
        <x:v>GrowthSquad探索分析 p.17</x:v>
      </x:c>
      <x:c r="H45" s="6" t="str">
        <x:v>初回の仕事開始日の募集で1人でも実稼働すれば「あり」。マッチング成立とは別。</x:v>
      </x:c>
    </x:row>
    <x:row r="46" ht="75" customHeight="1">
      <x:c r="A46" s="18" t="str">
        <x:v>G04</x:v>
      </x:c>
      <x:c r="B46" s="18" t="str">
        <x:v>計画・単発</x:v>
      </x:c>
      <x:c r="C46" s="18" t="str">
        <x:v>稼働なし</x:v>
      </x:c>
      <x:c r="D46" s="19" t="n">
        <x:v>0.409</x:v>
      </x:c>
      <x:c r="E46" s="18" t="n">
        <x:v>1966</x:v>
      </x:c>
      <x:c r="F46" s="18" t="str">
        <x:v>追加掲載率</x:v>
      </x:c>
      <x:c r="G46" s="18" t="str">
        <x:v>GrowthSquad探索分析 p.17</x:v>
      </x:c>
      <x:c r="H46" s="18" t="str">
        <x:v>初回の仕事開始日の募集で1人でも実稼働すれば「あり」。マッチング成立とは別。</x:v>
      </x:c>
    </x:row>
    <x:row r="47" ht="75" customHeight="1">
      <x:c r="A47" s="6" t="str">
        <x:v>G04</x:v>
      </x:c>
      <x:c r="B47" s="6" t="str">
        <x:v>計画・一括</x:v>
      </x:c>
      <x:c r="C47" s="6" t="str">
        <x:v>稼働なし</x:v>
      </x:c>
      <x:c r="D47" s="14" t="n">
        <x:v>0.452</x:v>
      </x:c>
      <x:c r="E47" s="6" t="n">
        <x:v>1379</x:v>
      </x:c>
      <x:c r="F47" s="6" t="str">
        <x:v>追加掲載率</x:v>
      </x:c>
      <x:c r="G47" s="6" t="str">
        <x:v>GrowthSquad探索分析 p.17</x:v>
      </x:c>
      <x:c r="H47" s="6" t="str">
        <x:v>初回の仕事開始日の募集で1人でも実稼働すれば「あり」。マッチング成立とは別。</x:v>
      </x:c>
    </x:row>
    <x:row r="48" ht="75" customHeight="1">
      <x:c r="A48" s="18" t="str">
        <x:v>G05</x:v>
      </x:c>
      <x:c r="B48" s="18" t="str">
        <x:v>1〜3日</x:v>
      </x:c>
      <x:c r="C48" s="18" t="str">
        <x:v>計画掲載あり</x:v>
      </x:c>
      <x:c r="D48" s="19" t="n">
        <x:v>0.425</x:v>
      </x:c>
      <x:c r="E48" s="18"/>
      <x:c r="F48" s="18" t="str">
        <x:v>翌月継続率</x:v>
      </x:c>
      <x:c r="G48" s="18" t="str">
        <x:v>GrowthSquad探索分析 p.31</x:v>
      </x:c>
      <x:c r="H48" s="18" t="str">
        <x:v>初月に仕事開始まで2日以上の募集が1件でもあれば「あり」。横軸は仕事開始日数。あり／なし別n未記載。</x:v>
      </x:c>
    </x:row>
    <x:row r="49" ht="75" customHeight="1">
      <x:c r="A49" s="6" t="str">
        <x:v>G05</x:v>
      </x:c>
      <x:c r="B49" s="6" t="str">
        <x:v>4〜6日</x:v>
      </x:c>
      <x:c r="C49" s="6" t="str">
        <x:v>計画掲載あり</x:v>
      </x:c>
      <x:c r="D49" s="14" t="n">
        <x:v>0.58</x:v>
      </x:c>
      <x:c r="E49" s="6"/>
      <x:c r="F49" s="6" t="str">
        <x:v>翌月継続率</x:v>
      </x:c>
      <x:c r="G49" s="6" t="str">
        <x:v>GrowthSquad探索分析 p.31</x:v>
      </x:c>
      <x:c r="H49" s="6" t="str">
        <x:v>初月に仕事開始まで2日以上の募集が1件でもあれば「あり」。横軸は仕事開始日数。あり／なし別n未記載。</x:v>
      </x:c>
    </x:row>
    <x:row r="50" ht="75" customHeight="1">
      <x:c r="A50" s="18" t="str">
        <x:v>G05</x:v>
      </x:c>
      <x:c r="B50" s="18" t="str">
        <x:v>7〜9日</x:v>
      </x:c>
      <x:c r="C50" s="18" t="str">
        <x:v>計画掲載あり</x:v>
      </x:c>
      <x:c r="D50" s="19" t="n">
        <x:v>0.655</x:v>
      </x:c>
      <x:c r="E50" s="18"/>
      <x:c r="F50" s="18" t="str">
        <x:v>翌月継続率</x:v>
      </x:c>
      <x:c r="G50" s="18" t="str">
        <x:v>GrowthSquad探索分析 p.31</x:v>
      </x:c>
      <x:c r="H50" s="18" t="str">
        <x:v>初月に仕事開始まで2日以上の募集が1件でもあれば「あり」。横軸は仕事開始日数。あり／なし別n未記載。</x:v>
      </x:c>
    </x:row>
    <x:row r="51" ht="75" customHeight="1">
      <x:c r="A51" s="6" t="str">
        <x:v>G05</x:v>
      </x:c>
      <x:c r="B51" s="6" t="str">
        <x:v>10日以上</x:v>
      </x:c>
      <x:c r="C51" s="6" t="str">
        <x:v>計画掲載あり</x:v>
      </x:c>
      <x:c r="D51" s="14" t="n">
        <x:v>0.779</x:v>
      </x:c>
      <x:c r="E51" s="6"/>
      <x:c r="F51" s="6" t="str">
        <x:v>翌月継続率</x:v>
      </x:c>
      <x:c r="G51" s="6" t="str">
        <x:v>GrowthSquad探索分析 p.31</x:v>
      </x:c>
      <x:c r="H51" s="6" t="str">
        <x:v>初月に仕事開始まで2日以上の募集が1件でもあれば「あり」。横軸は仕事開始日数。あり／なし別n未記載。</x:v>
      </x:c>
    </x:row>
    <x:row r="52" ht="75" customHeight="1">
      <x:c r="A52" s="18" t="str">
        <x:v>G05</x:v>
      </x:c>
      <x:c r="B52" s="18" t="str">
        <x:v>1〜3日</x:v>
      </x:c>
      <x:c r="C52" s="18" t="str">
        <x:v>計画掲載なし</x:v>
      </x:c>
      <x:c r="D52" s="19" t="n">
        <x:v>0.361</x:v>
      </x:c>
      <x:c r="E52" s="18"/>
      <x:c r="F52" s="18" t="str">
        <x:v>翌月継続率</x:v>
      </x:c>
      <x:c r="G52" s="18" t="str">
        <x:v>GrowthSquad探索分析 p.31</x:v>
      </x:c>
      <x:c r="H52" s="18" t="str">
        <x:v>初月に仕事開始まで2日以上の募集が1件でもあれば「あり」。横軸は仕事開始日数。あり／なし別n未記載。</x:v>
      </x:c>
    </x:row>
    <x:row r="53" ht="75" customHeight="1">
      <x:c r="A53" s="6" t="str">
        <x:v>G05</x:v>
      </x:c>
      <x:c r="B53" s="6" t="str">
        <x:v>4〜6日</x:v>
      </x:c>
      <x:c r="C53" s="6" t="str">
        <x:v>計画掲載なし</x:v>
      </x:c>
      <x:c r="D53" s="14" t="n">
        <x:v>0.478</x:v>
      </x:c>
      <x:c r="E53" s="6"/>
      <x:c r="F53" s="6" t="str">
        <x:v>翌月継続率</x:v>
      </x:c>
      <x:c r="G53" s="6" t="str">
        <x:v>GrowthSquad探索分析 p.31</x:v>
      </x:c>
      <x:c r="H53" s="6" t="str">
        <x:v>初月に仕事開始まで2日以上の募集が1件でもあれば「あり」。横軸は仕事開始日数。あり／なし別n未記載。</x:v>
      </x:c>
    </x:row>
    <x:row r="54" ht="75" customHeight="1">
      <x:c r="A54" s="18" t="str">
        <x:v>G05</x:v>
      </x:c>
      <x:c r="B54" s="18" t="str">
        <x:v>7〜9日</x:v>
      </x:c>
      <x:c r="C54" s="18" t="str">
        <x:v>計画掲載なし</x:v>
      </x:c>
      <x:c r="D54" s="19" t="n">
        <x:v>0.606</x:v>
      </x:c>
      <x:c r="E54" s="18"/>
      <x:c r="F54" s="18" t="str">
        <x:v>翌月継続率</x:v>
      </x:c>
      <x:c r="G54" s="18" t="str">
        <x:v>GrowthSquad探索分析 p.31</x:v>
      </x:c>
      <x:c r="H54" s="18" t="str">
        <x:v>初月に仕事開始まで2日以上の募集が1件でもあれば「あり」。横軸は仕事開始日数。あり／なし別n未記載。</x:v>
      </x:c>
    </x:row>
    <x:row r="55" ht="75" customHeight="1">
      <x:c r="A55" s="6" t="str">
        <x:v>G05</x:v>
      </x:c>
      <x:c r="B55" s="6" t="str">
        <x:v>10日以上</x:v>
      </x:c>
      <x:c r="C55" s="6" t="str">
        <x:v>計画掲載なし</x:v>
      </x:c>
      <x:c r="D55" s="14" t="n">
        <x:v>0.762</x:v>
      </x:c>
      <x:c r="E55" s="6"/>
      <x:c r="F55" s="6" t="str">
        <x:v>翌月継続率</x:v>
      </x:c>
      <x:c r="G55" s="6" t="str">
        <x:v>GrowthSquad探索分析 p.31</x:v>
      </x:c>
      <x:c r="H55" s="6" t="str">
        <x:v>初月に仕事開始まで2日以上の募集が1件でもあれば「あり」。横軸は仕事開始日数。あり／なし別n未記載。</x:v>
      </x:c>
    </x:row>
    <x:row r="56" ht="75" customHeight="1">
      <x:c r="A56" s="18" t="str">
        <x:v>G06</x:v>
      </x:c>
      <x:c r="B56" s="18" t="str">
        <x:v>1時間帯</x:v>
      </x:c>
      <x:c r="C56" s="18" t="str">
        <x:v>初月3〜5件</x:v>
      </x:c>
      <x:c r="D56" s="19" t="n">
        <x:v>0.263</x:v>
      </x:c>
      <x:c r="E56" s="18"/>
      <x:c r="F56" s="18" t="str">
        <x:v>3ヶ月継続率</x:v>
      </x:c>
      <x:c r="G56" s="18" t="str">
        <x:v>FY25 4Q 中長期レバー探索 p.34</x:v>
      </x:c>
      <x:c r="H56" s="18" t="str">
        <x:v>朝6〜11時、昼12〜14時、夕15〜18時、夜19〜翌5時。Low限定ではない。群別n未記載。</x:v>
      </x:c>
    </x:row>
    <x:row r="57" ht="75" customHeight="1">
      <x:c r="A57" s="6" t="str">
        <x:v>G06</x:v>
      </x:c>
      <x:c r="B57" s="6" t="str">
        <x:v>2時間帯</x:v>
      </x:c>
      <x:c r="C57" s="6" t="str">
        <x:v>初月3〜5件</x:v>
      </x:c>
      <x:c r="D57" s="14" t="n">
        <x:v>0.323</x:v>
      </x:c>
      <x:c r="E57" s="6"/>
      <x:c r="F57" s="6" t="str">
        <x:v>3ヶ月継続率</x:v>
      </x:c>
      <x:c r="G57" s="6" t="str">
        <x:v>FY25 4Q 中長期レバー探索 p.34</x:v>
      </x:c>
      <x:c r="H57" s="6" t="str">
        <x:v>朝6〜11時、昼12〜14時、夕15〜18時、夜19〜翌5時。Low限定ではない。群別n未記載。</x:v>
      </x:c>
    </x:row>
    <x:row r="58" ht="75" customHeight="1">
      <x:c r="A58" s="18" t="str">
        <x:v>G06</x:v>
      </x:c>
      <x:c r="B58" s="18" t="str">
        <x:v>3時間帯</x:v>
      </x:c>
      <x:c r="C58" s="18" t="str">
        <x:v>初月3〜5件</x:v>
      </x:c>
      <x:c r="D58" s="19" t="n">
        <x:v>0.314</x:v>
      </x:c>
      <x:c r="E58" s="18"/>
      <x:c r="F58" s="18" t="str">
        <x:v>3ヶ月継続率</x:v>
      </x:c>
      <x:c r="G58" s="18" t="str">
        <x:v>FY25 4Q 中長期レバー探索 p.34</x:v>
      </x:c>
      <x:c r="H58" s="18" t="str">
        <x:v>朝6〜11時、昼12〜14時、夕15〜18時、夜19〜翌5時。Low限定ではない。群別n未記載。</x:v>
      </x:c>
    </x:row>
    <x:row r="59" ht="75" customHeight="1">
      <x:c r="A59" s="6" t="str">
        <x:v>G06</x:v>
      </x:c>
      <x:c r="B59" s="6" t="str">
        <x:v>4時間帯</x:v>
      </x:c>
      <x:c r="C59" s="6" t="str">
        <x:v>初月3〜5件</x:v>
      </x:c>
      <x:c r="D59" s="14" t="n">
        <x:v>0.364</x:v>
      </x:c>
      <x:c r="E59" s="6"/>
      <x:c r="F59" s="6" t="str">
        <x:v>3ヶ月継続率</x:v>
      </x:c>
      <x:c r="G59" s="6" t="str">
        <x:v>FY25 4Q 中長期レバー探索 p.34</x:v>
      </x:c>
      <x:c r="H59" s="6" t="str">
        <x:v>朝6〜11時、昼12〜14時、夕15〜18時、夜19〜翌5時。Low限定ではない。群別n未記載。</x:v>
      </x:c>
    </x:row>
    <x:row r="60" ht="75" customHeight="1">
      <x:c r="A60" s="18" t="str">
        <x:v>G06</x:v>
      </x:c>
      <x:c r="B60" s="18" t="str">
        <x:v>1時間帯</x:v>
      </x:c>
      <x:c r="C60" s="18" t="str">
        <x:v>初月6〜10件</x:v>
      </x:c>
      <x:c r="D60" s="19" t="n">
        <x:v>0.411</x:v>
      </x:c>
      <x:c r="E60" s="18"/>
      <x:c r="F60" s="18" t="str">
        <x:v>3ヶ月継続率</x:v>
      </x:c>
      <x:c r="G60" s="18" t="str">
        <x:v>FY25 4Q 中長期レバー探索 p.34</x:v>
      </x:c>
      <x:c r="H60" s="18" t="str">
        <x:v>朝6〜11時、昼12〜14時、夕15〜18時、夜19〜翌5時。Low限定ではない。群別n未記載。</x:v>
      </x:c>
    </x:row>
    <x:row r="61" ht="75" customHeight="1">
      <x:c r="A61" s="6" t="str">
        <x:v>G06</x:v>
      </x:c>
      <x:c r="B61" s="6" t="str">
        <x:v>2時間帯</x:v>
      </x:c>
      <x:c r="C61" s="6" t="str">
        <x:v>初月6〜10件</x:v>
      </x:c>
      <x:c r="D61" s="14" t="n">
        <x:v>0.453</x:v>
      </x:c>
      <x:c r="E61" s="6"/>
      <x:c r="F61" s="6" t="str">
        <x:v>3ヶ月継続率</x:v>
      </x:c>
      <x:c r="G61" s="6" t="str">
        <x:v>FY25 4Q 中長期レバー探索 p.34</x:v>
      </x:c>
      <x:c r="H61" s="6" t="str">
        <x:v>朝6〜11時、昼12〜14時、夕15〜18時、夜19〜翌5時。Low限定ではない。群別n未記載。</x:v>
      </x:c>
    </x:row>
    <x:row r="62" ht="75" customHeight="1">
      <x:c r="A62" s="18" t="str">
        <x:v>G06</x:v>
      </x:c>
      <x:c r="B62" s="18" t="str">
        <x:v>3時間帯</x:v>
      </x:c>
      <x:c r="C62" s="18" t="str">
        <x:v>初月6〜10件</x:v>
      </x:c>
      <x:c r="D62" s="19" t="n">
        <x:v>0.518</x:v>
      </x:c>
      <x:c r="E62" s="18"/>
      <x:c r="F62" s="18" t="str">
        <x:v>3ヶ月継続率</x:v>
      </x:c>
      <x:c r="G62" s="18" t="str">
        <x:v>FY25 4Q 中長期レバー探索 p.34</x:v>
      </x:c>
      <x:c r="H62" s="18" t="str">
        <x:v>朝6〜11時、昼12〜14時、夕15〜18時、夜19〜翌5時。Low限定ではない。群別n未記載。</x:v>
      </x:c>
    </x:row>
    <x:row r="63" ht="75" customHeight="1">
      <x:c r="A63" s="6" t="str">
        <x:v>G06</x:v>
      </x:c>
      <x:c r="B63" s="6" t="str">
        <x:v>4時間帯</x:v>
      </x:c>
      <x:c r="C63" s="6" t="str">
        <x:v>初月6〜10件</x:v>
      </x:c>
      <x:c r="D63" s="14" t="n">
        <x:v>0.575</x:v>
      </x:c>
      <x:c r="E63" s="6"/>
      <x:c r="F63" s="6" t="str">
        <x:v>3ヶ月継続率</x:v>
      </x:c>
      <x:c r="G63" s="6" t="str">
        <x:v>FY25 4Q 中長期レバー探索 p.34</x:v>
      </x:c>
      <x:c r="H63" s="6" t="str">
        <x:v>朝6〜11時、昼12〜14時、夕15〜18時、夜19〜翌5時。Low限定ではない。群別n未記載。</x:v>
      </x:c>
    </x:row>
    <x:row r="64" ht="75" customHeight="1">
      <x:c r="A64" s="18" t="str">
        <x:v>G06</x:v>
      </x:c>
      <x:c r="B64" s="18" t="str">
        <x:v>1時間帯</x:v>
      </x:c>
      <x:c r="C64" s="18" t="str">
        <x:v>初月11件以上</x:v>
      </x:c>
      <x:c r="D64" s="19" t="n">
        <x:v>0.591</x:v>
      </x:c>
      <x:c r="E64" s="18"/>
      <x:c r="F64" s="18" t="str">
        <x:v>3ヶ月継続率</x:v>
      </x:c>
      <x:c r="G64" s="18" t="str">
        <x:v>FY25 4Q 中長期レバー探索 p.34</x:v>
      </x:c>
      <x:c r="H64" s="18" t="str">
        <x:v>朝6〜11時、昼12〜14時、夕15〜18時、夜19〜翌5時。Low限定ではない。群別n未記載。</x:v>
      </x:c>
    </x:row>
    <x:row r="65" ht="75" customHeight="1">
      <x:c r="A65" s="6" t="str">
        <x:v>G06</x:v>
      </x:c>
      <x:c r="B65" s="6" t="str">
        <x:v>2時間帯</x:v>
      </x:c>
      <x:c r="C65" s="6" t="str">
        <x:v>初月11件以上</x:v>
      </x:c>
      <x:c r="D65" s="14" t="n">
        <x:v>0.651</x:v>
      </x:c>
      <x:c r="E65" s="6"/>
      <x:c r="F65" s="6" t="str">
        <x:v>3ヶ月継続率</x:v>
      </x:c>
      <x:c r="G65" s="6" t="str">
        <x:v>FY25 4Q 中長期レバー探索 p.34</x:v>
      </x:c>
      <x:c r="H65" s="6" t="str">
        <x:v>朝6〜11時、昼12〜14時、夕15〜18時、夜19〜翌5時。Low限定ではない。群別n未記載。</x:v>
      </x:c>
    </x:row>
    <x:row r="66" ht="75" customHeight="1">
      <x:c r="A66" s="18" t="str">
        <x:v>G06</x:v>
      </x:c>
      <x:c r="B66" s="18" t="str">
        <x:v>3時間帯</x:v>
      </x:c>
      <x:c r="C66" s="18" t="str">
        <x:v>初月11件以上</x:v>
      </x:c>
      <x:c r="D66" s="19" t="n">
        <x:v>0.733</x:v>
      </x:c>
      <x:c r="E66" s="18"/>
      <x:c r="F66" s="18" t="str">
        <x:v>3ヶ月継続率</x:v>
      </x:c>
      <x:c r="G66" s="18" t="str">
        <x:v>FY25 4Q 中長期レバー探索 p.34</x:v>
      </x:c>
      <x:c r="H66" s="18" t="str">
        <x:v>朝6〜11時、昼12〜14時、夕15〜18時、夜19〜翌5時。Low限定ではない。群別n未記載。</x:v>
      </x:c>
    </x:row>
    <x:row r="67" ht="75" customHeight="1">
      <x:c r="A67" s="6" t="str">
        <x:v>G06</x:v>
      </x:c>
      <x:c r="B67" s="6" t="str">
        <x:v>4時間帯</x:v>
      </x:c>
      <x:c r="C67" s="6" t="str">
        <x:v>初月11件以上</x:v>
      </x:c>
      <x:c r="D67" s="14" t="n">
        <x:v>0.816</x:v>
      </x:c>
      <x:c r="E67" s="6"/>
      <x:c r="F67" s="6" t="str">
        <x:v>3ヶ月継続率</x:v>
      </x:c>
      <x:c r="G67" s="6" t="str">
        <x:v>FY25 4Q 中長期レバー探索 p.34</x:v>
      </x:c>
      <x:c r="H67" s="6" t="str">
        <x:v>朝6〜11時、昼12〜14時、夕15〜18時、夜19〜翌5時。Low限定ではない。群別n未記載。</x:v>
      </x:c>
    </x:row>
    <x:row r="68" ht="75" customHeight="1">
      <x:c r="A68" s="18" t="str">
        <x:v>G07</x:v>
      </x:c>
      <x:c r="B68" s="18" t="str">
        <x:v>週末のみ</x:v>
      </x:c>
      <x:c r="C68" s="18" t="str">
        <x:v>初月3〜5件</x:v>
      </x:c>
      <x:c r="D68" s="19" t="n">
        <x:v>0.332</x:v>
      </x:c>
      <x:c r="E68" s="18"/>
      <x:c r="F68" s="18" t="str">
        <x:v>3ヶ月継続率</x:v>
      </x:c>
      <x:c r="G68" s="18" t="str">
        <x:v>FY25 4Q 中長期レバー探索 p.34</x:v>
      </x:c>
      <x:c r="H68" s="18" t="str">
        <x:v>全募集量で平日・週末併用が最大ではない。全体分析をLowへ直接移植しない。群別n未記載。</x:v>
      </x:c>
    </x:row>
    <x:row r="69" ht="75" customHeight="1">
      <x:c r="A69" s="6" t="str">
        <x:v>G07</x:v>
      </x:c>
      <x:c r="B69" s="6" t="str">
        <x:v>平日のみ</x:v>
      </x:c>
      <x:c r="C69" s="6" t="str">
        <x:v>初月3〜5件</x:v>
      </x:c>
      <x:c r="D69" s="14" t="n">
        <x:v>0.247</x:v>
      </x:c>
      <x:c r="E69" s="6"/>
      <x:c r="F69" s="6" t="str">
        <x:v>3ヶ月継続率</x:v>
      </x:c>
      <x:c r="G69" s="6" t="str">
        <x:v>FY25 4Q 中長期レバー探索 p.34</x:v>
      </x:c>
      <x:c r="H69" s="6" t="str">
        <x:v>全募集量で平日・週末併用が最大ではない。全体分析をLowへ直接移植しない。群別n未記載。</x:v>
      </x:c>
    </x:row>
    <x:row r="70" ht="75" customHeight="1">
      <x:c r="A70" s="18" t="str">
        <x:v>G07</x:v>
      </x:c>
      <x:c r="B70" s="18" t="str">
        <x:v>平日・週末</x:v>
      </x:c>
      <x:c r="C70" s="18" t="str">
        <x:v>初月3〜5件</x:v>
      </x:c>
      <x:c r="D70" s="19" t="n">
        <x:v>0.306</x:v>
      </x:c>
      <x:c r="E70" s="18"/>
      <x:c r="F70" s="18" t="str">
        <x:v>3ヶ月継続率</x:v>
      </x:c>
      <x:c r="G70" s="18" t="str">
        <x:v>FY25 4Q 中長期レバー探索 p.34</x:v>
      </x:c>
      <x:c r="H70" s="18" t="str">
        <x:v>全募集量で平日・週末併用が最大ではない。全体分析をLowへ直接移植しない。群別n未記載。</x:v>
      </x:c>
    </x:row>
    <x:row r="71" ht="75" customHeight="1">
      <x:c r="A71" s="6" t="str">
        <x:v>G07</x:v>
      </x:c>
      <x:c r="B71" s="6" t="str">
        <x:v>週末のみ</x:v>
      </x:c>
      <x:c r="C71" s="6" t="str">
        <x:v>初月6〜10件</x:v>
      </x:c>
      <x:c r="D71" s="14" t="n">
        <x:v>0.473</x:v>
      </x:c>
      <x:c r="E71" s="6"/>
      <x:c r="F71" s="6" t="str">
        <x:v>3ヶ月継続率</x:v>
      </x:c>
      <x:c r="G71" s="6" t="str">
        <x:v>FY25 4Q 中長期レバー探索 p.34</x:v>
      </x:c>
      <x:c r="H71" s="6" t="str">
        <x:v>全募集量で平日・週末併用が最大ではない。全体分析をLowへ直接移植しない。群別n未記載。</x:v>
      </x:c>
    </x:row>
    <x:row r="72" ht="75" customHeight="1">
      <x:c r="A72" s="18" t="str">
        <x:v>G07</x:v>
      </x:c>
      <x:c r="B72" s="18" t="str">
        <x:v>平日のみ</x:v>
      </x:c>
      <x:c r="C72" s="18" t="str">
        <x:v>初月6〜10件</x:v>
      </x:c>
      <x:c r="D72" s="19" t="n">
        <x:v>0.416</x:v>
      </x:c>
      <x:c r="E72" s="18"/>
      <x:c r="F72" s="18" t="str">
        <x:v>3ヶ月継続率</x:v>
      </x:c>
      <x:c r="G72" s="18" t="str">
        <x:v>FY25 4Q 中長期レバー探索 p.34</x:v>
      </x:c>
      <x:c r="H72" s="18" t="str">
        <x:v>全募集量で平日・週末併用が最大ではない。全体分析をLowへ直接移植しない。群別n未記載。</x:v>
      </x:c>
    </x:row>
    <x:row r="73" ht="75" customHeight="1">
      <x:c r="A73" s="6" t="str">
        <x:v>G07</x:v>
      </x:c>
      <x:c r="B73" s="6" t="str">
        <x:v>平日・週末</x:v>
      </x:c>
      <x:c r="C73" s="6" t="str">
        <x:v>初月6〜10件</x:v>
      </x:c>
      <x:c r="D73" s="14" t="n">
        <x:v>0.446</x:v>
      </x:c>
      <x:c r="E73" s="6"/>
      <x:c r="F73" s="6" t="str">
        <x:v>3ヶ月継続率</x:v>
      </x:c>
      <x:c r="G73" s="6" t="str">
        <x:v>FY25 4Q 中長期レバー探索 p.34</x:v>
      </x:c>
      <x:c r="H73" s="6" t="str">
        <x:v>全募集量で平日・週末併用が最大ではない。全体分析をLowへ直接移植しない。群別n未記載。</x:v>
      </x:c>
    </x:row>
    <x:row r="74" ht="75" customHeight="1">
      <x:c r="A74" s="18" t="str">
        <x:v>G07</x:v>
      </x:c>
      <x:c r="B74" s="18" t="str">
        <x:v>週末のみ</x:v>
      </x:c>
      <x:c r="C74" s="18" t="str">
        <x:v>初月11件以上</x:v>
      </x:c>
      <x:c r="D74" s="19" t="n">
        <x:v>0.483</x:v>
      </x:c>
      <x:c r="E74" s="18"/>
      <x:c r="F74" s="18" t="str">
        <x:v>3ヶ月継続率</x:v>
      </x:c>
      <x:c r="G74" s="18" t="str">
        <x:v>FY25 4Q 中長期レバー探索 p.34</x:v>
      </x:c>
      <x:c r="H74" s="18" t="str">
        <x:v>全募集量で平日・週末併用が最大ではない。全体分析をLowへ直接移植しない。群別n未記載。</x:v>
      </x:c>
    </x:row>
    <x:row r="75" ht="75" customHeight="1">
      <x:c r="A75" s="6" t="str">
        <x:v>G07</x:v>
      </x:c>
      <x:c r="B75" s="6" t="str">
        <x:v>平日のみ</x:v>
      </x:c>
      <x:c r="C75" s="6" t="str">
        <x:v>初月11件以上</x:v>
      </x:c>
      <x:c r="D75" s="14" t="n">
        <x:v>0.587</x:v>
      </x:c>
      <x:c r="E75" s="6"/>
      <x:c r="F75" s="6" t="str">
        <x:v>3ヶ月継続率</x:v>
      </x:c>
      <x:c r="G75" s="6" t="str">
        <x:v>FY25 4Q 中長期レバー探索 p.34</x:v>
      </x:c>
      <x:c r="H75" s="6" t="str">
        <x:v>全募集量で平日・週末併用が最大ではない。全体分析をLowへ直接移植しない。群別n未記載。</x:v>
      </x:c>
    </x:row>
    <x:row r="76" ht="75" customHeight="1">
      <x:c r="A76" s="18" t="str">
        <x:v>G07</x:v>
      </x:c>
      <x:c r="B76" s="18" t="str">
        <x:v>平日・週末</x:v>
      </x:c>
      <x:c r="C76" s="18" t="str">
        <x:v>初月11件以上</x:v>
      </x:c>
      <x:c r="D76" s="19" t="n">
        <x:v>0.669</x:v>
      </x:c>
      <x:c r="E76" s="18"/>
      <x:c r="F76" s="18" t="str">
        <x:v>3ヶ月継続率</x:v>
      </x:c>
      <x:c r="G76" s="18" t="str">
        <x:v>FY25 4Q 中長期レバー探索 p.34</x:v>
      </x:c>
      <x:c r="H76" s="18" t="str">
        <x:v>全募集量で平日・週末併用が最大ではない。全体分析をLowへ直接移植しない。群別n未記載。</x:v>
      </x:c>
    </x:row>
    <x:row r="77" ht="75" customHeight="1">
      <x:c r="A77" s="6" t="str">
        <x:v>G08</x:v>
      </x:c>
      <x:c r="B77" s="6" t="str">
        <x:v>5掲載未満</x:v>
      </x:c>
      <x:c r="C77" s="6" t="str">
        <x:v>Badあり</x:v>
      </x:c>
      <x:c r="D77" s="14" t="n">
        <x:v>0.449</x:v>
      </x:c>
      <x:c r="E77" s="6" t="n">
        <x:v>539</x:v>
      </x:c>
      <x:c r="F77" s="6" t="str">
        <x:v>暦月の翌月継続率</x:v>
      </x:c>
      <x:c r="G77" s="6" t="str">
        <x:v>2708未達要因分析 p.5</x:v>
      </x:c>
      <x:c r="H77" s="6" t="str">
        <x:v>掲載未満群でもBadありが低いわけではない。原因・未解決・発生後行動へ分解して検証。4群合計1,693、冒頭1,817との差は要照合。</x:v>
      </x:c>
    </x:row>
    <x:row r="78" ht="75" customHeight="1">
      <x:c r="A78" s="18" t="str">
        <x:v>G08</x:v>
      </x:c>
      <x:c r="B78" s="18" t="str">
        <x:v>5掲載以上</x:v>
      </x:c>
      <x:c r="C78" s="18" t="str">
        <x:v>Badあり</x:v>
      </x:c>
      <x:c r="D78" s="19" t="n">
        <x:v>0.74</x:v>
      </x:c>
      <x:c r="E78" s="18" t="n">
        <x:v>416</x:v>
      </x:c>
      <x:c r="F78" s="18" t="str">
        <x:v>暦月の翌月継続率</x:v>
      </x:c>
      <x:c r="G78" s="18" t="str">
        <x:v>2708未達要因分析 p.5</x:v>
      </x:c>
      <x:c r="H78" s="18" t="str">
        <x:v>掲載未満群でもBadありが低いわけではない。原因・未解決・発生後行動へ分解して検証。4群合計1,693、冒頭1,817との差は要照合。</x:v>
      </x:c>
    </x:row>
    <x:row r="79" ht="75" customHeight="1">
      <x:c r="A79" s="6" t="str">
        <x:v>G08</x:v>
      </x:c>
      <x:c r="B79" s="6" t="str">
        <x:v>5掲載未満</x:v>
      </x:c>
      <x:c r="C79" s="6" t="str">
        <x:v>Badなし</x:v>
      </x:c>
      <x:c r="D79" s="14" t="n">
        <x:v>0.412</x:v>
      </x:c>
      <x:c r="E79" s="6" t="n">
        <x:v>498</x:v>
      </x:c>
      <x:c r="F79" s="6" t="str">
        <x:v>暦月の翌月継続率</x:v>
      </x:c>
      <x:c r="G79" s="6" t="str">
        <x:v>2708未達要因分析 p.5</x:v>
      </x:c>
      <x:c r="H79" s="6" t="str">
        <x:v>掲載未満群でもBadありが低いわけではない。原因・未解決・発生後行動へ分解して検証。4群合計1,693、冒頭1,817との差は要照合。</x:v>
      </x:c>
    </x:row>
    <x:row r="80" ht="75" customHeight="1">
      <x:c r="A80" s="18" t="str">
        <x:v>G08</x:v>
      </x:c>
      <x:c r="B80" s="18" t="str">
        <x:v>5掲載以上</x:v>
      </x:c>
      <x:c r="C80" s="18" t="str">
        <x:v>Badなし</x:v>
      </x:c>
      <x:c r="D80" s="19" t="n">
        <x:v>0.746</x:v>
      </x:c>
      <x:c r="E80" s="18" t="n">
        <x:v>240</x:v>
      </x:c>
      <x:c r="F80" s="18" t="str">
        <x:v>暦月の翌月継続率</x:v>
      </x:c>
      <x:c r="G80" s="18" t="str">
        <x:v>2708未達要因分析 p.5</x:v>
      </x:c>
      <x:c r="H80" s="18" t="str">
        <x:v>掲載未満群でもBadありが低いわけではない。原因・未解決・発生後行動へ分解して検証。4群合計1,693、冒頭1,817との差は要照合。</x:v>
      </x:c>
    </x:row>
  </x:sheetData>
  <x:pageMargins left="0.7" right="0.7" top="0.75" bottom="0.75" header="0.3" footer="0.3"/>
  <x:tableParts count="1">
    <x:tablePart xmlns:r="http://schemas.openxmlformats.org/officeDocument/2006/relationships" r:id="Rb0aeed04b44147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16" t="str">
        <x:v>R01 2回目掲載と翌月継続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2" customHeight="1">
      <x:c r="A4" s="1" t="str">
        <x:v>区分</x:v>
      </x:c>
      <x:c r="B4" s="1" t="str">
        <x:v>翌月継続率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2" customHeight="1">
      <x:c r="A5" s="1" t="str">
        <x:v>2回目あり</x:v>
      </x:c>
      <x:c r="B5" s="17" t="n">
        <x:f>'根拠データ'!D2</x:f>
        <x:v>0.69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2" customHeight="1">
      <x:c r="A6" s="1" t="str">
        <x:v>2回目なし</x:v>
      </x:c>
      <x:c r="B6" s="17" t="n">
        <x:f>'根拠データ'!D3</x:f>
        <x:v>0.052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2" customHeight="1">
      <x:c r="A23" s="2" t="str">
        <x:v>旧設計書④ B4:D12／PoC PDF p.6
2026年3〜6月初回。初回作成が20日以前。あり69〜75%の下限。群別n不明。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2" customHeight="1">
      <x:c r="A29" s="16" t="str">
        <x:v>R02 掲載が続く期間とその後の継続</x:v>
      </x:c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2" customHeight="1">
      <x:c r="A31" s="1" t="str">
        <x:v>区分</x:v>
      </x:c>
      <x:c r="B31" s="1" t="str">
        <x:v>31〜60日目の掲載率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2" customHeight="1">
      <x:c r="A32" s="1" t="str">
        <x:v>4週目も掲載</x:v>
      </x:c>
      <x:c r="B32" s="17" t="n">
        <x:f>'根拠データ'!D4</x:f>
        <x:v>0.755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2" customHeight="1">
      <x:c r="A33" s="1" t="str">
        <x:v>初日まとめ・停止</x:v>
      </x:c>
      <x:c r="B33" s="17" t="n">
        <x:f>'根拠データ'!D5</x:f>
        <x:v>0.244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2" customHeight="1">
      <x:c r="A34" s="1" t="str">
        <x:v>初回のみ</x:v>
      </x:c>
      <x:c r="B34" s="17" t="n">
        <x:f>'根拠データ'!D6</x:f>
        <x:v>0.192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2" customHeight="1">
      <x:c r="A50" s="2" t="str">
        <x:v>旧設計書④ B14:D22
2026年3〜5月初回・60日観測完了、n=7127。現行の1〜7日間隔の直接比較ではない。</x:v>
      </x:c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2" customHeight="1">
      <x:c r="A56" s="16" t="str">
        <x:v>R03 初月の掲載量と翌月継続</x:v>
      </x:c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2" customHeight="1">
      <x:c r="A58" s="1" t="str">
        <x:v>区分</x:v>
      </x:c>
      <x:c r="B58" s="1" t="str">
        <x:v>翌月継続率</x:v>
      </x:c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2" customHeight="1">
      <x:c r="A59" s="1" t="str">
        <x:v>2件</x:v>
      </x:c>
      <x:c r="B59" s="17" t="n">
        <x:f>'根拠データ'!D7</x:f>
        <x:v>0.69</x:v>
      </x:c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2" customHeight="1">
      <x:c r="A60" s="1" t="str">
        <x:v>5件以上</x:v>
      </x:c>
      <x:c r="B60" s="17" t="n">
        <x:f>'根拠データ'!D8</x:f>
        <x:v>0.761</x:v>
      </x:c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2" customHeight="1">
      <x:c r="A77" s="2" t="str">
        <x:v>旧設計書④ B24:D33／PoC PDF p.6
既存資料の集約比較。2件と5件以上の対象期間・群別nは同条件で要照合。差7.1pt。</x:v>
      </x:c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2" customHeight="1">
      <x:c r="A83" s="16" t="str">
        <x:v>R04 ヨミと翌月継続</x:v>
      </x:c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2" customHeight="1">
      <x:c r="A85" s="1" t="str">
        <x:v>区分</x:v>
      </x:c>
      <x:c r="B85" s="1" t="str">
        <x:v>翌月継続率</x:v>
      </x:c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2" customHeight="1">
      <x:c r="A86" s="1" t="str">
        <x:v>A：日付合意</x:v>
      </x:c>
      <x:c r="B86" s="17" t="n">
        <x:f>'根拠データ'!D9</x:f>
        <x:v>0.933</x:v>
      </x:c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2" customHeight="1">
      <x:c r="A87" s="1" t="str">
        <x:v>B：時期合意</x:v>
      </x:c>
      <x:c r="B87" s="17" t="n">
        <x:f>'根拠データ'!D10</x:f>
        <x:v>0.7</x:v>
      </x:c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2" customHeight="1">
      <x:c r="A88" s="1" t="str">
        <x:v>C＋：検討中</x:v>
      </x:c>
      <x:c r="B88" s="17" t="n">
        <x:f>'根拠データ'!D11</x:f>
        <x:v>0.455</x:v>
      </x:c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22" customHeight="1">
      <x:c r="A104" s="2" t="str">
        <x:v>旧設計書④ B35:D43／PoC PDF p.7
7月新規・8月頭ヨミ。n=149/170/301。C＋の数値をC全体に置き換えない。</x:v>
      </x:c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 ht="22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 ht="22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22" customHeight="1">
      <x:c r="A110" s="16" t="str">
        <x:v>R05 下旬初回の継続指標の違い</x:v>
      </x:c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22" customHeight="1">
      <x:c r="A112" s="1" t="str">
        <x:v>区分</x:v>
      </x:c>
      <x:c r="B112" s="1" t="str">
        <x:v>各指標の割合</x:v>
      </x:c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22" customHeight="1">
      <x:c r="A113" s="1" t="str">
        <x:v>暦月の翌月継続</x:v>
      </x:c>
      <x:c r="B113" s="17" t="n">
        <x:f>'根拠データ'!D12</x:f>
        <x:v>0.61</x:v>
      </x:c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22" customHeight="1">
      <x:c r="A114" s="1" t="str">
        <x:v>60日生存</x:v>
      </x:c>
      <x:c r="B114" s="17" t="n">
        <x:f>'根拠データ'!D13</x:f>
        <x:v>0.395</x:v>
      </x:c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22" customHeight="1">
      <x:c r="A131" s="2" t="str">
        <x:v>旧設計書④ B64:D72／PoC PDF p.7
前月21日以降の初回層。−2/−1点の根拠ではなく、判定窓で結果が変わる参考。</x:v>
      </x:c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 ht="22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 ht="22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22" customHeight="1">
      <x:c r="A137" s="16" t="str">
        <x:v>G01 仕事開始日数が増えるほど継続率が高い</x:v>
      </x:c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22" customHeight="1">
      <x:c r="A139" s="1" t="str">
        <x:v>区分</x:v>
      </x:c>
      <x:c r="B139" s="1" t="str">
        <x:v>翌月継続率</x:v>
      </x:c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22" customHeight="1">
      <x:c r="A140" s="1" t="str">
        <x:v>1日</x:v>
      </x:c>
      <x:c r="B140" s="17" t="n">
        <x:f>'根拠データ'!D14</x:f>
        <x:v>0.198</x:v>
      </x:c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22" customHeight="1">
      <x:c r="A141" s="1" t="str">
        <x:v>2日</x:v>
      </x:c>
      <x:c r="B141" s="17" t="n">
        <x:f>'根拠データ'!D15</x:f>
        <x:v>0.319</x:v>
      </x:c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22" customHeight="1">
      <x:c r="A142" s="1" t="str">
        <x:v>3日</x:v>
      </x:c>
      <x:c r="B142" s="17" t="n">
        <x:f>'根拠データ'!D16</x:f>
        <x:v>0.419</x:v>
      </x:c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22" customHeight="1">
      <x:c r="A143" s="1" t="str">
        <x:v>4日</x:v>
      </x:c>
      <x:c r="B143" s="17" t="n">
        <x:f>'根拠データ'!D17</x:f>
        <x:v>0.5</x:v>
      </x:c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22" customHeight="1">
      <x:c r="A144" s="1" t="str">
        <x:v>5日</x:v>
      </x:c>
      <x:c r="B144" s="17" t="n">
        <x:f>'根拠データ'!D18</x:f>
        <x:v>0.535</x:v>
      </x:c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22" customHeight="1">
      <x:c r="A145" s="1" t="str">
        <x:v>6日</x:v>
      </x:c>
      <x:c r="B145" s="17" t="n">
        <x:f>'根拠データ'!D19</x:f>
        <x:v>0.598</x:v>
      </x:c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22" customHeight="1">
      <x:c r="A146" s="1" t="str">
        <x:v>7日</x:v>
      </x:c>
      <x:c r="B146" s="17" t="n">
        <x:f>'根拠データ'!D20</x:f>
        <x:v>0.635</x:v>
      </x:c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22" customHeight="1">
      <x:c r="A147" s="1" t="str">
        <x:v>8日</x:v>
      </x:c>
      <x:c r="B147" s="17" t="n">
        <x:f>'根拠データ'!D21</x:f>
        <x:v>0.627</x:v>
      </x:c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22" customHeight="1">
      <x:c r="A148" s="1" t="str">
        <x:v>9日</x:v>
      </x:c>
      <x:c r="B148" s="17" t="n">
        <x:f>'根拠データ'!D22</x:f>
        <x:v>0.675</x:v>
      </x:c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22" customHeight="1">
      <x:c r="A149" s="1" t="str">
        <x:v>10日</x:v>
      </x:c>
      <x:c r="B149" s="17" t="n">
        <x:f>'根拠データ'!D23</x:f>
        <x:v>0.707</x:v>
      </x:c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22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22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22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22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22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22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22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22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22" customHeight="1">
      <x:c r="A158" s="2" t="str">
        <x:v>GrowthSquad探索分析 p.25
仕事開始日の重複を除いた日数。公開日数ではない。1〜10日の範囲を抜粋。4日は50.0%。群別nは未転記。</x:v>
      </x:c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 ht="22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 ht="22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 ht="22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22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22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22" customHeight="1">
      <x:c r="A164" s="16" t="str">
        <x:v>G02 初月後半まで掲載するパターンが高い</x:v>
      </x:c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</x:row>
    <x:row r="165" ht="22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22" customHeight="1">
      <x:c r="A166" s="1" t="str">
        <x:v>区分</x:v>
      </x:c>
      <x:c r="B166" s="1" t="str">
        <x:v>翌月継続率</x:v>
      </x:c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22" customHeight="1">
      <x:c r="A167" s="1" t="str">
        <x:v>2週のみ</x:v>
      </x:c>
      <x:c r="B167" s="17" t="n">
        <x:f>'根拠データ'!D24</x:f>
        <x:v>0.38</x:v>
      </x:c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22" customHeight="1">
      <x:c r="A168" s="1" t="str">
        <x:v>2・3週</x:v>
      </x:c>
      <x:c r="B168" s="17" t="n">
        <x:f>'根拠データ'!D25</x:f>
        <x:v>0.58</x:v>
      </x:c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22" customHeight="1">
      <x:c r="A169" s="1" t="str">
        <x:v>2・4週</x:v>
      </x:c>
      <x:c r="B169" s="17" t="n">
        <x:f>'根拠データ'!D26</x:f>
        <x:v>0.75</x:v>
      </x:c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22" customHeight="1">
      <x:c r="A170" s="1" t="str">
        <x:v>2・3・4週</x:v>
      </x:c>
      <x:c r="B170" s="17" t="n">
        <x:f>'根拠データ'!D27</x:f>
        <x:v>0.87</x:v>
      </x:c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22" customHeight="1">
      <x:c r="A171" s="1" t="str">
        <x:v>3週のみ</x:v>
      </x:c>
      <x:c r="B171" s="17" t="n">
        <x:f>'根拠データ'!D28</x:f>
        <x:v>0.51</x:v>
      </x:c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22" customHeight="1">
      <x:c r="A172" s="1" t="str">
        <x:v>4週のみ</x:v>
      </x:c>
      <x:c r="B172" s="17" t="n">
        <x:f>'根拠データ'!D29</x:f>
        <x:v>0.62</x:v>
      </x:c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22" customHeight="1">
      <x:c r="A173" s="1" t="str">
        <x:v>3・4週</x:v>
      </x:c>
      <x:c r="B173" s="17" t="n">
        <x:f>'根拠データ'!D30</x:f>
        <x:v>0.79</x:v>
      </x:c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22" customHeight="1">
      <x:c r="A174" s="1" t="str">
        <x:v>追加週なし</x:v>
      </x:c>
      <x:c r="B174" s="17" t="n">
        <x:f>'根拠データ'!D31</x:f>
        <x:v>0.16</x:v>
      </x:c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22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22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22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22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22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22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22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22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22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22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22" customHeight="1">
      <x:c r="A185" s="2" t="str">
        <x:v>構造化分析 Part2 p.14
全群で初週掲載あり。横軸は初週以降の掲載週。実験効果ではなく掲載パターン別比較。群別n未記載。</x:v>
      </x:c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 ht="22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 ht="22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 ht="22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22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22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22" customHeight="1">
      <x:c r="A191" s="16" t="str">
        <x:v>G03 初回Good評価ありの群で追加掲載率が高い</x:v>
      </x:c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  <x:c r="Q191" s="16"/>
    </x:row>
    <x:row r="192" ht="22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22" customHeight="1">
      <x:c r="A193" s="1" t="str">
        <x:v>区分</x:v>
      </x:c>
      <x:c r="B193" s="1" t="str">
        <x:v>Goodあり</x:v>
      </x:c>
      <x:c r="C193" s="1" t="str">
        <x:v>Goodなし</x:v>
      </x:c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22" customHeight="1">
      <x:c r="A194" s="1" t="str">
        <x:v>緊急・単発</x:v>
      </x:c>
      <x:c r="B194" s="17" t="n">
        <x:f>'根拠データ'!D32</x:f>
        <x:v>0.689</x:v>
      </x:c>
      <x:c r="C194" s="17" t="n">
        <x:f>'根拠データ'!D36</x:f>
        <x:v>0.442</x:v>
      </x:c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22" customHeight="1">
      <x:c r="A195" s="1" t="str">
        <x:v>緊急・一括</x:v>
      </x:c>
      <x:c r="B195" s="17" t="n">
        <x:f>'根拠データ'!D33</x:f>
        <x:v>0.763</x:v>
      </x:c>
      <x:c r="C195" s="17" t="n">
        <x:f>'根拠データ'!D37</x:f>
        <x:v>0.559</x:v>
      </x:c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22" customHeight="1">
      <x:c r="A196" s="1" t="str">
        <x:v>計画・単発</x:v>
      </x:c>
      <x:c r="B196" s="17" t="n">
        <x:f>'根拠データ'!D34</x:f>
        <x:v>0.558</x:v>
      </x:c>
      <x:c r="C196" s="17" t="n">
        <x:f>'根拠データ'!D38</x:f>
        <x:v>0.28</x:v>
      </x:c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22" customHeight="1">
      <x:c r="A197" s="1" t="str">
        <x:v>計画・一括</x:v>
      </x:c>
      <x:c r="B197" s="17" t="n">
        <x:f>'根拠データ'!D35</x:f>
        <x:v>0.588</x:v>
      </x:c>
      <x:c r="C197" s="17" t="n">
        <x:f>'根拠データ'!D39</x:f>
        <x:v>0.373</x:v>
      </x:c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22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22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22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22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22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22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22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22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22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22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22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22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22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22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22" customHeight="1">
      <x:c r="A212" s="2" t="str">
        <x:v>GrowthSquad探索分析 p.20
企業からワーカーへの評価。稼働あり店舗を比較。Goodなしには未評価を含む。評価の強制は行わない。</x:v>
      </x:c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</x:row>
    <x:row r="213" ht="22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</x:row>
    <x:row r="214" ht="22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</x:row>
    <x:row r="215" ht="22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22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22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22" customHeight="1">
      <x:c r="A218" s="16" t="str">
        <x:v>G04 初回に実稼働した群で追加掲載率が高い</x:v>
      </x:c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  <x:c r="L218" s="16"/>
      <x:c r="M218" s="16"/>
      <x:c r="N218" s="16"/>
      <x:c r="O218" s="16"/>
      <x:c r="P218" s="16"/>
      <x:c r="Q218" s="16"/>
    </x:row>
    <x:row r="219" ht="22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22" customHeight="1">
      <x:c r="A220" s="1" t="str">
        <x:v>区分</x:v>
      </x:c>
      <x:c r="B220" s="1" t="str">
        <x:v>稼働あり</x:v>
      </x:c>
      <x:c r="C220" s="1" t="str">
        <x:v>稼働なし</x:v>
      </x:c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22" customHeight="1">
      <x:c r="A221" s="1" t="str">
        <x:v>緊急・単発</x:v>
      </x:c>
      <x:c r="B221" s="17" t="n">
        <x:f>'根拠データ'!D40</x:f>
        <x:v>0.649</x:v>
      </x:c>
      <x:c r="C221" s="17" t="n">
        <x:f>'根拠データ'!D44</x:f>
        <x:v>0.48</x:v>
      </x:c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22" customHeight="1">
      <x:c r="A222" s="1" t="str">
        <x:v>緊急・一括</x:v>
      </x:c>
      <x:c r="B222" s="17" t="n">
        <x:f>'根拠データ'!D41</x:f>
        <x:v>0.743</x:v>
      </x:c>
      <x:c r="C222" s="17" t="n">
        <x:f>'根拠データ'!D45</x:f>
        <x:v>0.623</x:v>
      </x:c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22" customHeight="1">
      <x:c r="A223" s="1" t="str">
        <x:v>計画・単発</x:v>
      </x:c>
      <x:c r="B223" s="17" t="n">
        <x:f>'根拠データ'!D42</x:f>
        <x:v>0.521</x:v>
      </x:c>
      <x:c r="C223" s="17" t="n">
        <x:f>'根拠データ'!D46</x:f>
        <x:v>0.409</x:v>
      </x:c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22" customHeight="1">
      <x:c r="A224" s="1" t="str">
        <x:v>計画・一括</x:v>
      </x:c>
      <x:c r="B224" s="17" t="n">
        <x:f>'根拠データ'!D43</x:f>
        <x:v>0.567</x:v>
      </x:c>
      <x:c r="C224" s="17" t="n">
        <x:f>'根拠データ'!D47</x:f>
        <x:v>0.452</x:v>
      </x:c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22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22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22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22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22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22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22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22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22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22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22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22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22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22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22" customHeight="1">
      <x:c r="A239" s="2" t="str">
        <x:v>GrowthSquad探索分析 p.17
初回の仕事開始日の募集で1人でも実稼働すれば「あり」。マッチング成立とは別。</x:v>
      </x:c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</x:row>
    <x:row r="240" ht="22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</x:row>
    <x:row r="241" ht="22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</x:row>
    <x:row r="242" ht="22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 ht="22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 ht="22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 ht="22" customHeight="1">
      <x:c r="A245" s="16" t="str">
        <x:v>G05 計画掲載の差は募集日数が少ない層で大きい</x:v>
      </x:c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  <x:c r="L245" s="16"/>
      <x:c r="M245" s="16"/>
      <x:c r="N245" s="16"/>
      <x:c r="O245" s="16"/>
      <x:c r="P245" s="16"/>
      <x:c r="Q245" s="16"/>
    </x:row>
    <x:row r="246" ht="22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 ht="22" customHeight="1">
      <x:c r="A247" s="1" t="str">
        <x:v>区分</x:v>
      </x:c>
      <x:c r="B247" s="1" t="str">
        <x:v>計画掲載あり</x:v>
      </x:c>
      <x:c r="C247" s="1" t="str">
        <x:v>計画掲載なし</x:v>
      </x:c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 ht="22" customHeight="1">
      <x:c r="A248" s="1" t="str">
        <x:v>1〜3日</x:v>
      </x:c>
      <x:c r="B248" s="17" t="n">
        <x:f>'根拠データ'!D48</x:f>
        <x:v>0.425</x:v>
      </x:c>
      <x:c r="C248" s="17" t="n">
        <x:f>'根拠データ'!D52</x:f>
        <x:v>0.361</x:v>
      </x:c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 ht="22" customHeight="1">
      <x:c r="A249" s="1" t="str">
        <x:v>4〜6日</x:v>
      </x:c>
      <x:c r="B249" s="17" t="n">
        <x:f>'根拠データ'!D49</x:f>
        <x:v>0.58</x:v>
      </x:c>
      <x:c r="C249" s="17" t="n">
        <x:f>'根拠データ'!D53</x:f>
        <x:v>0.478</x:v>
      </x:c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 ht="22" customHeight="1">
      <x:c r="A250" s="1" t="str">
        <x:v>7〜9日</x:v>
      </x:c>
      <x:c r="B250" s="17" t="n">
        <x:f>'根拠データ'!D50</x:f>
        <x:v>0.655</x:v>
      </x:c>
      <x:c r="C250" s="17" t="n">
        <x:f>'根拠データ'!D54</x:f>
        <x:v>0.606</x:v>
      </x:c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 ht="22" customHeight="1">
      <x:c r="A251" s="1" t="str">
        <x:v>10日以上</x:v>
      </x:c>
      <x:c r="B251" s="17" t="n">
        <x:f>'根拠データ'!D51</x:f>
        <x:v>0.779</x:v>
      </x:c>
      <x:c r="C251" s="17" t="n">
        <x:f>'根拠データ'!D55</x:f>
        <x:v>0.762</x:v>
      </x:c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 ht="22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 ht="22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 ht="22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 ht="22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 ht="22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 ht="22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 ht="22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 ht="22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 ht="22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 ht="22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 ht="22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 ht="22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 ht="22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 ht="22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 ht="22" customHeight="1">
      <x:c r="A266" s="2" t="str">
        <x:v>GrowthSquad探索分析 p.31
初月に仕事開始まで2日以上の募集が1件でもあれば「あり」。横軸は仕事開始日数。あり／なし別n未記載。</x:v>
      </x:c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</x:row>
    <x:row r="267" ht="22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</x:row>
    <x:row r="268" ht="22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</x:row>
    <x:row r="269" ht="22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 ht="22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 ht="22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 ht="22" customHeight="1">
      <x:c r="A272" s="16" t="str">
        <x:v>G06 募集時間帯の広がりと3ヶ月継続</x:v>
      </x:c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  <x:c r="L272" s="16"/>
      <x:c r="M272" s="16"/>
      <x:c r="N272" s="16"/>
      <x:c r="O272" s="16"/>
      <x:c r="P272" s="16"/>
      <x:c r="Q272" s="16"/>
    </x:row>
    <x:row r="273" ht="22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 ht="22" customHeight="1">
      <x:c r="A274" s="1" t="str">
        <x:v>区分</x:v>
      </x:c>
      <x:c r="B274" s="1" t="str">
        <x:v>初月3〜5件</x:v>
      </x:c>
      <x:c r="C274" s="1" t="str">
        <x:v>初月6〜10件</x:v>
      </x:c>
      <x:c r="D274" s="1" t="str">
        <x:v>初月11件以上</x:v>
      </x:c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 ht="22" customHeight="1">
      <x:c r="A275" s="1" t="str">
        <x:v>1時間帯</x:v>
      </x:c>
      <x:c r="B275" s="17" t="n">
        <x:f>'根拠データ'!D56</x:f>
        <x:v>0.263</x:v>
      </x:c>
      <x:c r="C275" s="17" t="n">
        <x:f>'根拠データ'!D60</x:f>
        <x:v>0.411</x:v>
      </x:c>
      <x:c r="D275" s="17" t="n">
        <x:f>'根拠データ'!D64</x:f>
        <x:v>0.591</x:v>
      </x:c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 ht="22" customHeight="1">
      <x:c r="A276" s="1" t="str">
        <x:v>2時間帯</x:v>
      </x:c>
      <x:c r="B276" s="17" t="n">
        <x:f>'根拠データ'!D57</x:f>
        <x:v>0.323</x:v>
      </x:c>
      <x:c r="C276" s="17" t="n">
        <x:f>'根拠データ'!D61</x:f>
        <x:v>0.453</x:v>
      </x:c>
      <x:c r="D276" s="17" t="n">
        <x:f>'根拠データ'!D65</x:f>
        <x:v>0.651</x:v>
      </x:c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 ht="22" customHeight="1">
      <x:c r="A277" s="1" t="str">
        <x:v>3時間帯</x:v>
      </x:c>
      <x:c r="B277" s="17" t="n">
        <x:f>'根拠データ'!D58</x:f>
        <x:v>0.314</x:v>
      </x:c>
      <x:c r="C277" s="17" t="n">
        <x:f>'根拠データ'!D62</x:f>
        <x:v>0.518</x:v>
      </x:c>
      <x:c r="D277" s="17" t="n">
        <x:f>'根拠データ'!D66</x:f>
        <x:v>0.733</x:v>
      </x:c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 ht="22" customHeight="1">
      <x:c r="A278" s="1" t="str">
        <x:v>4時間帯</x:v>
      </x:c>
      <x:c r="B278" s="17" t="n">
        <x:f>'根拠データ'!D59</x:f>
        <x:v>0.364</x:v>
      </x:c>
      <x:c r="C278" s="17" t="n">
        <x:f>'根拠データ'!D63</x:f>
        <x:v>0.575</x:v>
      </x:c>
      <x:c r="D278" s="17" t="n">
        <x:f>'根拠データ'!D67</x:f>
        <x:v>0.816</x:v>
      </x:c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 ht="22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 ht="22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 ht="22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 ht="22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 ht="22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 ht="22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 ht="22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 ht="22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 ht="22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 ht="22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 ht="22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 ht="22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 ht="22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 ht="22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 ht="22" customHeight="1">
      <x:c r="A293" s="2" t="str">
        <x:v>FY25 4Q 中長期レバー探索 p.34
朝6〜11時、昼12〜14時、夕15〜18時、夜19〜翌5時。Low限定ではない。群別n未記載。</x:v>
      </x:c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</x:row>
    <x:row r="294" ht="22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</x:row>
    <x:row r="295" ht="22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</x:row>
    <x:row r="296" ht="22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 ht="22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 ht="22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 ht="22" customHeight="1">
      <x:c r="A299" s="16" t="str">
        <x:v>G07 平日・週末利用の差は募集量によって異なる</x:v>
      </x:c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  <x:c r="L299" s="16"/>
      <x:c r="M299" s="16"/>
      <x:c r="N299" s="16"/>
      <x:c r="O299" s="16"/>
      <x:c r="P299" s="16"/>
      <x:c r="Q299" s="16"/>
    </x:row>
    <x:row r="300" ht="22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 ht="22" customHeight="1">
      <x:c r="A301" s="1" t="str">
        <x:v>区分</x:v>
      </x:c>
      <x:c r="B301" s="1" t="str">
        <x:v>初月3〜5件</x:v>
      </x:c>
      <x:c r="C301" s="1" t="str">
        <x:v>初月6〜10件</x:v>
      </x:c>
      <x:c r="D301" s="1" t="str">
        <x:v>初月11件以上</x:v>
      </x:c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 ht="22" customHeight="1">
      <x:c r="A302" s="1" t="str">
        <x:v>週末のみ</x:v>
      </x:c>
      <x:c r="B302" s="17" t="n">
        <x:f>'根拠データ'!D68</x:f>
        <x:v>0.332</x:v>
      </x:c>
      <x:c r="C302" s="17" t="n">
        <x:f>'根拠データ'!D71</x:f>
        <x:v>0.473</x:v>
      </x:c>
      <x:c r="D302" s="17" t="n">
        <x:f>'根拠データ'!D74</x:f>
        <x:v>0.483</x:v>
      </x:c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 ht="22" customHeight="1">
      <x:c r="A303" s="1" t="str">
        <x:v>平日のみ</x:v>
      </x:c>
      <x:c r="B303" s="17" t="n">
        <x:f>'根拠データ'!D69</x:f>
        <x:v>0.247</x:v>
      </x:c>
      <x:c r="C303" s="17" t="n">
        <x:f>'根拠データ'!D72</x:f>
        <x:v>0.416</x:v>
      </x:c>
      <x:c r="D303" s="17" t="n">
        <x:f>'根拠データ'!D75</x:f>
        <x:v>0.587</x:v>
      </x:c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 ht="22" customHeight="1">
      <x:c r="A304" s="1" t="str">
        <x:v>平日・週末</x:v>
      </x:c>
      <x:c r="B304" s="17" t="n">
        <x:f>'根拠データ'!D70</x:f>
        <x:v>0.306</x:v>
      </x:c>
      <x:c r="C304" s="17" t="n">
        <x:f>'根拠データ'!D73</x:f>
        <x:v>0.446</x:v>
      </x:c>
      <x:c r="D304" s="17" t="n">
        <x:f>'根拠データ'!D76</x:f>
        <x:v>0.669</x:v>
      </x:c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 ht="22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 ht="22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 ht="22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 ht="22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 ht="22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 ht="22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 ht="22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 ht="22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 ht="22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 ht="22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 ht="22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 ht="22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 ht="22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 ht="22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 ht="22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 ht="22" customHeight="1">
      <x:c r="A320" s="2" t="str">
        <x:v>FY25 4Q 中長期レバー探索 p.34
全募集量で平日・週末併用が最大ではない。全体分析をLowへ直接移植しない。群別n未記載。</x:v>
      </x:c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</x:row>
    <x:row r="321" ht="22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</x:row>
    <x:row r="322" ht="22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</x:row>
    <x:row r="323" ht="22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 ht="22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 ht="22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 ht="22" customHeight="1">
      <x:c r="A326" s="16" t="str">
        <x:v>G08 Bad体験の一律減点は根拠を再確認</x:v>
      </x:c>
      <x:c r="B326" s="16"/>
      <x:c r="C326" s="16"/>
      <x:c r="D326" s="16"/>
      <x:c r="E326" s="16"/>
      <x:c r="F326" s="16"/>
      <x:c r="G326" s="16"/>
      <x:c r="H326" s="16"/>
      <x:c r="I326" s="16"/>
      <x:c r="J326" s="16"/>
      <x:c r="K326" s="16"/>
      <x:c r="L326" s="16"/>
      <x:c r="M326" s="16"/>
      <x:c r="N326" s="16"/>
      <x:c r="O326" s="16"/>
      <x:c r="P326" s="16"/>
      <x:c r="Q326" s="16"/>
    </x:row>
    <x:row r="327" ht="22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 ht="22" customHeight="1">
      <x:c r="A328" s="1" t="str">
        <x:v>区分</x:v>
      </x:c>
      <x:c r="B328" s="1" t="str">
        <x:v>Badあり</x:v>
      </x:c>
      <x:c r="C328" s="1" t="str">
        <x:v>Badなし</x:v>
      </x:c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 ht="22" customHeight="1">
      <x:c r="A329" s="1" t="str">
        <x:v>5掲載未満</x:v>
      </x:c>
      <x:c r="B329" s="17" t="n">
        <x:f>'根拠データ'!D77</x:f>
        <x:v>0.449</x:v>
      </x:c>
      <x:c r="C329" s="17" t="n">
        <x:f>'根拠データ'!D79</x:f>
        <x:v>0.412</x:v>
      </x:c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 ht="22" customHeight="1">
      <x:c r="A330" s="1" t="str">
        <x:v>5掲載以上</x:v>
      </x:c>
      <x:c r="B330" s="17" t="n">
        <x:f>'根拠データ'!D78</x:f>
        <x:v>0.74</x:v>
      </x:c>
      <x:c r="C330" s="17" t="n">
        <x:f>'根拠データ'!D80</x:f>
        <x:v>0.746</x:v>
      </x:c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 ht="22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 ht="22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 ht="22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 ht="22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 ht="22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 ht="22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 ht="22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 ht="22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 ht="22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 ht="22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 ht="22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 ht="22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 ht="22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 ht="22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 ht="22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 ht="22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 ht="22" customHeight="1">
      <x:c r="A347" s="2" t="str">
        <x:v>2708未達要因分析 p.5
掲載未満群でもBadありが低いわけではない。原因・未解決・発生後行動へ分解して検証。4群合計1,693、冒頭1,817との差は要照合。</x:v>
      </x:c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</x:row>
    <x:row r="348" ht="22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</x:row>
    <x:row r="349" ht="22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</x:row>
    <x:row r="350" ht="22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</x:row>
    <x:row r="351" ht="22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</x:row>
    <x:row r="352" ht="22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</x:row>
    <x:row r="353" ht="22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</x:row>
    <x:row r="354" ht="22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</x:row>
    <x:row r="355" ht="22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</x:row>
    <x:row r="356" ht="22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</x:row>
    <x:row r="357" ht="22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</x:row>
    <x:row r="358" ht="22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</x:row>
    <x:row r="359" ht="22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</x:row>
    <x:row r="360" ht="22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</x:row>
    <x:row r="361" ht="22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</x:row>
    <x:row r="362" ht="22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</x:row>
    <x:row r="363" ht="22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</x:row>
    <x:row r="364" ht="22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</x:row>
    <x:row r="365" ht="22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</x:row>
  </x:sheetData>
  <x:mergeCells>
    <x:mergeCell ref="A2:Q2"/>
    <x:mergeCell ref="A23:Q25"/>
    <x:mergeCell ref="A29:Q29"/>
    <x:mergeCell ref="A50:Q52"/>
    <x:mergeCell ref="A56:Q56"/>
    <x:mergeCell ref="A77:Q79"/>
    <x:mergeCell ref="A83:Q83"/>
    <x:mergeCell ref="A104:Q106"/>
    <x:mergeCell ref="A110:Q110"/>
    <x:mergeCell ref="A131:Q133"/>
    <x:mergeCell ref="A137:Q137"/>
    <x:mergeCell ref="A158:Q160"/>
    <x:mergeCell ref="A164:Q164"/>
    <x:mergeCell ref="A185:Q187"/>
    <x:mergeCell ref="A191:Q191"/>
    <x:mergeCell ref="A212:Q214"/>
    <x:mergeCell ref="A218:Q218"/>
    <x:mergeCell ref="A239:Q241"/>
    <x:mergeCell ref="A245:Q245"/>
    <x:mergeCell ref="A266:Q268"/>
    <x:mergeCell ref="A272:Q272"/>
    <x:mergeCell ref="A293:Q295"/>
    <x:mergeCell ref="A299:Q299"/>
    <x:mergeCell ref="A320:Q322"/>
    <x:mergeCell ref="A326:Q326"/>
    <x:mergeCell ref="A347:Q349"/>
  </x:mergeCells>
  <x:pageMargins left="0.7" right="0.7" top="0.75" bottom="0.75" header="0.3" footer="0.3"/>
  <x:drawing xmlns:r="http://schemas.openxmlformats.org/officeDocument/2006/relationships" r:id="Rd3a2722426f2495c"/>
</x:worksheet>
</file>